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CA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#,##0.0;(#,##0.0);&quot;-&quot;"/>
    <numFmt numFmtId="166" formatCode="+0.0%;-0.0%;0.0%"/>
    <numFmt numFmtId="167" formatCode="0.0%"/>
    <numFmt numFmtId="168" formatCode="0.0&quot;x&quot;"/>
    <numFmt numFmtId="169" formatCode="0.0000"/>
    <numFmt numFmtId="170" formatCode="0.00&quot;x&quot;"/>
  </numFmts>
  <fonts count="18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20"/>
    </font>
    <font>
      <name val="Calibri"/>
      <b val="1"/>
      <color rgb="001F3864"/>
      <sz val="14"/>
    </font>
    <font>
      <name val="Calibri"/>
      <b val="1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20"/>
    </font>
    <font>
      <name val="Calibri"/>
      <b val="1"/>
      <color rgb="00006100"/>
      <sz val="28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color rgb="00404040"/>
      <sz val="9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0000FF"/>
      <sz val="10"/>
    </font>
    <font>
      <name val="Calibri"/>
      <i val="1"/>
      <color rgb="00000000"/>
      <sz val="10"/>
    </font>
    <font>
      <name val="Calibri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164" fontId="6" fillId="3" borderId="1" applyAlignment="1" pivotButton="0" quotePrefix="0" xfId="0">
      <alignment horizontal="center" vertical="center"/>
    </xf>
    <xf numFmtId="0" fontId="0" fillId="0" borderId="3" pivotButton="0" quotePrefix="0" xfId="0"/>
    <xf numFmtId="164" fontId="6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9" pivotButton="0" quotePrefix="0" xfId="0"/>
    <xf numFmtId="166" fontId="7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167" fontId="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right" vertical="center"/>
    </xf>
    <xf numFmtId="2" fontId="1" fillId="0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167" fontId="10" fillId="7" borderId="1" applyAlignment="1" pivotButton="0" quotePrefix="0" xfId="0">
      <alignment horizontal="right" vertical="center"/>
    </xf>
    <xf numFmtId="167" fontId="15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right" vertical="center"/>
    </xf>
    <xf numFmtId="169" fontId="1" fillId="0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5" fontId="10" fillId="3" borderId="1" applyAlignment="1" pivotButton="0" quotePrefix="0" xfId="0">
      <alignment horizontal="right" vertical="center"/>
    </xf>
    <xf numFmtId="168" fontId="10" fillId="3" borderId="1" applyAlignment="1" pivotButton="0" quotePrefix="0" xfId="0">
      <alignment horizontal="right" vertical="center"/>
    </xf>
    <xf numFmtId="168" fontId="1" fillId="0" borderId="1" applyAlignment="1" pivotButton="0" quotePrefix="0" xfId="0">
      <alignment horizontal="right" vertical="center"/>
    </xf>
    <xf numFmtId="168" fontId="10" fillId="0" borderId="1" applyAlignment="1" pivotButton="0" quotePrefix="0" xfId="0">
      <alignment horizontal="right" vertical="center"/>
    </xf>
    <xf numFmtId="1" fontId="1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right" vertical="center"/>
    </xf>
    <xf numFmtId="170" fontId="1" fillId="0" borderId="1" applyAlignment="1" pivotButton="0" quotePrefix="0" xfId="0">
      <alignment horizontal="right" vertical="center"/>
    </xf>
    <xf numFmtId="167" fontId="10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Price vs Valuation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'Dashboard'!$B$22:$B$25</f>
            </numRef>
          </cat>
          <val>
            <numRef>
              <f>'Dashboard'!$C$22:$C$25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EV/EBITDA: Target vs Peers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'CCA'!D39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'CCA'!$B$40:$B$43</f>
            </numRef>
          </cat>
          <val>
            <numRef>
              <f>'CCA'!$D$40:$D$43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P/E: Target vs Peers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'CCA'!C39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'CCA'!$B$40:$B$43</f>
            </numRef>
          </cat>
          <val>
            <numRef>
              <f>'CCA'!$C$40:$C$43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(millions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'Financials'!$C$5:$F$5</f>
            </numRef>
          </cat>
          <val>
            <numRef>
              <f>'Financials'!$C$6:$F$6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'Financials'!$C$5:$F$5</f>
            </numRef>
          </cat>
          <val>
            <numRef>
              <f>'Financials'!$C$9:$F$9</f>
            </numRef>
          </val>
        </ser>
        <ser>
          <idx val="1"/>
          <order val="1"/>
          <tx>
            <strRef>
              <f>'Financials'!B11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'Financials'!$C$5:$F$5</f>
            </numRef>
          </cat>
          <val>
            <numRef>
              <f>'Financials'!$C$11:$F$11</f>
            </numRef>
          </val>
        </ser>
        <ser>
          <idx val="2"/>
          <order val="2"/>
          <tx>
            <strRef>
              <f>'Financials'!B13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'Financials'!$C$5:$F$5</f>
            </numRef>
          </cat>
          <val>
            <numRef>
              <f>'Financials'!$C$13:$F$13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Price - Last 12 Months (USD)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'Financials'!J5</f>
            </strRef>
          </tx>
          <spPr>
            <a:ln xmlns:a="http://schemas.openxmlformats.org/drawingml/2006/main" w="1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'Financials'!$I$6:$I$256</f>
            </numRef>
          </cat>
          <val>
            <numRef>
              <f>'Financials'!$J$6:$J$256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3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52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44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44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I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38" customHeight="1">
      <c r="B1" s="1" t="inlineStr">
        <is>
          <t>COMPANY FINANCIAL VALUATION</t>
        </is>
      </c>
    </row>
    <row r="2" ht="26" customHeight="1">
      <c r="B2" s="2" t="inlineStr">
        <is>
          <t>PayPal Holdings, Inc.  (PYPL)</t>
        </is>
      </c>
    </row>
    <row r="4">
      <c r="B4" s="3" t="inlineStr">
        <is>
          <t>Company</t>
        </is>
      </c>
      <c r="C4" s="4" t="inlineStr">
        <is>
          <t>PayPal Holdings, Inc.</t>
        </is>
      </c>
      <c r="F4" s="3" t="inlineStr">
        <is>
          <t>Analysis Date</t>
        </is>
      </c>
      <c r="G4" s="4" t="inlineStr">
        <is>
          <t>21 Sep 2026</t>
        </is>
      </c>
    </row>
    <row r="5">
      <c r="B5" s="3" t="inlineStr">
        <is>
          <t>Ticker</t>
        </is>
      </c>
      <c r="C5" s="4" t="inlineStr">
        <is>
          <t>PYPL</t>
        </is>
      </c>
      <c r="F5" s="3" t="inlineStr">
        <is>
          <t>Current Share Price</t>
        </is>
      </c>
      <c r="G5" s="5" t="n">
        <v>52.41</v>
      </c>
    </row>
    <row r="6">
      <c r="B6" s="3" t="inlineStr">
        <is>
          <t>Sector</t>
        </is>
      </c>
      <c r="C6" s="4" t="inlineStr">
        <is>
          <t>Financial Services</t>
        </is>
      </c>
      <c r="F6" s="3" t="inlineStr">
        <is>
          <t>Market Cap (m USD)</t>
        </is>
      </c>
      <c r="G6" s="6" t="n">
        <v>44834.705408</v>
      </c>
    </row>
    <row r="7">
      <c r="B7" s="3" t="inlineStr">
        <is>
          <t>Industry</t>
        </is>
      </c>
      <c r="C7" s="4" t="inlineStr">
        <is>
          <t>Credit Services</t>
        </is>
      </c>
      <c r="F7" s="3" t="inlineStr">
        <is>
          <t>Enterprise Value (m USD)</t>
        </is>
      </c>
      <c r="G7" s="6" t="n">
        <v>47799.7056</v>
      </c>
    </row>
    <row r="9">
      <c r="B9" s="7" t="inlineStr">
        <is>
          <t>CURRENT PRICE</t>
        </is>
      </c>
      <c r="C9" s="8" t="n"/>
      <c r="D9" s="7" t="inlineStr">
        <is>
          <t>DCF IMPLIED PRICE</t>
        </is>
      </c>
      <c r="E9" s="8" t="n"/>
      <c r="F9" s="7" t="inlineStr">
        <is>
          <t>CCA IMPLIED PRICE</t>
        </is>
      </c>
      <c r="G9" s="8" t="n"/>
      <c r="H9" s="7" t="inlineStr">
        <is>
          <t>FINAL INTRINSIC PRICE</t>
        </is>
      </c>
      <c r="I9" s="8" t="n"/>
    </row>
    <row r="10" ht="20" customHeight="1">
      <c r="B10" s="9" t="n">
        <v>52.41</v>
      </c>
      <c r="C10" s="10" t="n"/>
      <c r="D10" s="9" t="n">
        <v>99.79948584217055</v>
      </c>
      <c r="E10" s="10" t="n"/>
      <c r="F10" s="9" t="n">
        <v>194.8702077449816</v>
      </c>
      <c r="G10" s="10" t="n"/>
      <c r="H10" s="11" t="n">
        <v>137.827774603295</v>
      </c>
      <c r="I10" s="10" t="n"/>
    </row>
    <row r="11" ht="20" customHeight="1">
      <c r="B11" s="12" t="n"/>
      <c r="C11" s="13" t="n"/>
      <c r="D11" s="12" t="n"/>
      <c r="E11" s="13" t="n"/>
      <c r="F11" s="12" t="n"/>
      <c r="G11" s="13" t="n"/>
      <c r="H11" s="12" t="n"/>
      <c r="I11" s="13" t="n"/>
    </row>
    <row r="13">
      <c r="B13" s="14" t="inlineStr">
        <is>
          <t>UPSIDE / DOWNSIDE</t>
        </is>
      </c>
      <c r="C13" s="15" t="n"/>
      <c r="D13" s="15" t="n"/>
      <c r="E13" s="8" t="n"/>
      <c r="F13" s="14" t="inlineStr">
        <is>
          <t>RECOMMENDATION</t>
        </is>
      </c>
      <c r="G13" s="15" t="n"/>
      <c r="H13" s="15" t="n"/>
      <c r="I13" s="8" t="n"/>
    </row>
    <row r="14">
      <c r="B14" s="16" t="n">
        <v>1.629799171976626</v>
      </c>
      <c r="C14" s="17" t="n"/>
      <c r="D14" s="17" t="n"/>
      <c r="E14" s="10" t="n"/>
      <c r="F14" s="18" t="inlineStr">
        <is>
          <t>BUY</t>
        </is>
      </c>
      <c r="G14" s="17" t="n"/>
      <c r="H14" s="17" t="n"/>
      <c r="I14" s="10" t="n"/>
    </row>
    <row r="15">
      <c r="B15" s="19" t="n"/>
      <c r="E15" s="20" t="n"/>
      <c r="F15" s="19" t="n"/>
      <c r="I15" s="20" t="n"/>
    </row>
    <row r="16">
      <c r="B16" s="12" t="n"/>
      <c r="C16" s="21" t="n"/>
      <c r="D16" s="21" t="n"/>
      <c r="E16" s="13" t="n"/>
      <c r="F16" s="12" t="n"/>
      <c r="G16" s="21" t="n"/>
      <c r="H16" s="21" t="n"/>
      <c r="I16" s="13" t="n"/>
    </row>
    <row r="17">
      <c r="B17" s="22" t="inlineStr">
        <is>
          <t>Rule: BUY if upside &gt;= 15%, otherwise SELL.  Upside = Final Intrinsic Price / Current Price - 1.</t>
        </is>
      </c>
    </row>
    <row r="18" ht="26" customHeight="1">
      <c r="B18" s="23" t="inlineStr">
        <is>
          <t>Recommendation is based solely on the model's valuation assumptions and minimum required upside threshold. It is not investment advice.</t>
        </is>
      </c>
    </row>
    <row r="20" ht="20" customHeight="1">
      <c r="B20" s="24" t="inlineStr">
        <is>
          <t>VALUATION COMPARISON</t>
        </is>
      </c>
      <c r="C20" s="24" t="n"/>
      <c r="D20" s="24" t="n"/>
      <c r="E20" s="24" t="n"/>
      <c r="F20" s="24" t="n"/>
      <c r="G20" s="24" t="n"/>
      <c r="H20" s="24" t="n"/>
      <c r="I20" s="24" t="n"/>
    </row>
    <row r="21">
      <c r="B21" s="25" t="inlineStr">
        <is>
          <t>Measure</t>
        </is>
      </c>
      <c r="C21" s="26" t="inlineStr">
        <is>
          <t>Price (USD)</t>
        </is>
      </c>
    </row>
    <row r="22">
      <c r="B22" s="27" t="inlineStr">
        <is>
          <t>Current Price</t>
        </is>
      </c>
      <c r="C22" s="28" t="n">
        <v>52.41</v>
      </c>
    </row>
    <row r="23">
      <c r="B23" s="27" t="inlineStr">
        <is>
          <t>DCF Value</t>
        </is>
      </c>
      <c r="C23" s="28" t="n">
        <v>99.79948584217055</v>
      </c>
    </row>
    <row r="24">
      <c r="B24" s="27" t="inlineStr">
        <is>
          <t>CCA Value</t>
        </is>
      </c>
      <c r="C24" s="28" t="n">
        <v>194.8702077449816</v>
      </c>
    </row>
    <row r="25">
      <c r="B25" s="27" t="inlineStr">
        <is>
          <t>Final Intrinsic</t>
        </is>
      </c>
      <c r="C25" s="29" t="n">
        <v>137.827774603295</v>
      </c>
    </row>
    <row r="27">
      <c r="B27" s="30" t="inlineStr">
        <is>
          <t>KEY ASSUMPTIONS</t>
        </is>
      </c>
      <c r="C27" s="31" t="n"/>
    </row>
    <row r="28">
      <c r="B28" s="27" t="inlineStr">
        <is>
          <t>WACC (used)</t>
        </is>
      </c>
      <c r="C28" s="32" t="n">
        <v>0.09</v>
      </c>
    </row>
    <row r="29">
      <c r="B29" s="27" t="inlineStr">
        <is>
          <t>Terminal Growth</t>
        </is>
      </c>
      <c r="C29" s="32" t="n">
        <v>0.03</v>
      </c>
    </row>
    <row r="30">
      <c r="B30" s="27" t="inlineStr">
        <is>
          <t>Exit Multiple</t>
        </is>
      </c>
      <c r="C30" s="33" t="n">
        <v>11</v>
      </c>
    </row>
    <row r="31">
      <c r="B31" s="27" t="inlineStr">
        <is>
          <t>DCF Weight</t>
        </is>
      </c>
      <c r="C31" s="34" t="n">
        <v>0.6</v>
      </c>
    </row>
    <row r="32">
      <c r="B32" s="27" t="inlineStr">
        <is>
          <t>CCA Weight</t>
        </is>
      </c>
      <c r="C32" s="34" t="n">
        <v>0.4</v>
      </c>
    </row>
    <row r="33">
      <c r="B33" s="27" t="inlineStr">
        <is>
          <t>Perpetual Growth DCF</t>
        </is>
      </c>
      <c r="C33" s="28" t="n">
        <v>105.0177398938513</v>
      </c>
    </row>
    <row r="34">
      <c r="B34" s="27" t="inlineStr">
        <is>
          <t>Exit Multiple DCF</t>
        </is>
      </c>
      <c r="C34" s="28" t="n">
        <v>94.5812317904898</v>
      </c>
    </row>
    <row r="37" ht="20" customHeight="1">
      <c r="B37" s="24" t="inlineStr">
        <is>
          <t>DATA NOTES &amp; ASSUMPTIONS</t>
        </is>
      </c>
      <c r="C37" s="24" t="n"/>
      <c r="D37" s="24" t="n"/>
      <c r="E37" s="24" t="n"/>
      <c r="F37" s="24" t="n"/>
      <c r="G37" s="24" t="n"/>
      <c r="H37" s="24" t="n"/>
      <c r="I37" s="24" t="n"/>
    </row>
    <row r="38" ht="15" customHeight="1">
      <c r="B38" s="35" t="inlineStr">
        <is>
          <t>- Equity risk premium of 5.0% is an assumption (not retrieved from data).</t>
        </is>
      </c>
    </row>
    <row r="39" ht="26" customHeight="1">
      <c r="B39" s="35" t="inlineStr">
        <is>
          <t>- Forecast revenue growth equals the terminal growth rate in every year (per model design); other drivers use 3-yr historical averages.</t>
        </is>
      </c>
    </row>
  </sheetData>
  <mergeCells count="26">
    <mergeCell ref="F13:I13"/>
    <mergeCell ref="G6:I6"/>
    <mergeCell ref="B10:C11"/>
    <mergeCell ref="H9:I9"/>
    <mergeCell ref="B18:I18"/>
    <mergeCell ref="F14:I16"/>
    <mergeCell ref="B39:I39"/>
    <mergeCell ref="G5:I5"/>
    <mergeCell ref="B2:I2"/>
    <mergeCell ref="G4:I4"/>
    <mergeCell ref="D10:E11"/>
    <mergeCell ref="C7:E7"/>
    <mergeCell ref="B1:I1"/>
    <mergeCell ref="B17:I17"/>
    <mergeCell ref="B38:I38"/>
    <mergeCell ref="F10:G11"/>
    <mergeCell ref="H10:I11"/>
    <mergeCell ref="B9:C9"/>
    <mergeCell ref="D9:E9"/>
    <mergeCell ref="F9:G9"/>
    <mergeCell ref="C6:E6"/>
    <mergeCell ref="C5:E5"/>
    <mergeCell ref="B13:E13"/>
    <mergeCell ref="C4:E4"/>
    <mergeCell ref="B14:E16"/>
    <mergeCell ref="G7:I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1:H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60" customWidth="1" min="8" max="8"/>
  </cols>
  <sheetData>
    <row r="1" ht="30" customHeight="1">
      <c r="B1" s="36" t="inlineStr">
        <is>
          <t>DISCOUNTED CASH FLOW (DCF) VALUATION</t>
        </is>
      </c>
    </row>
    <row r="2">
      <c r="B2" s="37" t="inlineStr">
        <is>
          <t>PayPal Holdings, Inc. (PYPL)  |  Analysis date 21 Sep 2026</t>
        </is>
      </c>
    </row>
    <row r="3">
      <c r="B3" s="38" t="inlineStr">
        <is>
          <t>Millions of USD unless per share.  Blue = assumption / user input.  Every figure is labelled Historical Data, Projected, or Assumption.</t>
        </is>
      </c>
    </row>
    <row r="5" ht="20" customHeight="1">
      <c r="B5" s="24" t="inlineStr">
        <is>
          <t>1. HISTORICAL DATA (from Yahoo Finance)</t>
        </is>
      </c>
      <c r="C5" s="24" t="n"/>
      <c r="D5" s="24" t="n"/>
      <c r="E5" s="24" t="n"/>
      <c r="F5" s="24" t="n"/>
      <c r="G5" s="24" t="n"/>
      <c r="H5" s="24" t="n"/>
    </row>
    <row r="6">
      <c r="B6" s="25" t="inlineStr">
        <is>
          <t>(millions)</t>
        </is>
      </c>
      <c r="C6" s="26" t="inlineStr">
        <is>
          <t>FY2022</t>
        </is>
      </c>
      <c r="D6" s="26" t="inlineStr">
        <is>
          <t>FY2023</t>
        </is>
      </c>
      <c r="E6" s="26" t="inlineStr">
        <is>
          <t>FY2024</t>
        </is>
      </c>
      <c r="F6" s="26" t="inlineStr">
        <is>
          <t>FY2025</t>
        </is>
      </c>
    </row>
    <row r="7">
      <c r="B7" s="27" t="inlineStr">
        <is>
          <t>Revenue</t>
        </is>
      </c>
      <c r="C7" s="39" t="n">
        <v>27518</v>
      </c>
      <c r="D7" s="39" t="n">
        <v>29771</v>
      </c>
      <c r="E7" s="39" t="n">
        <v>31797</v>
      </c>
      <c r="F7" s="39" t="n">
        <v>33172</v>
      </c>
    </row>
    <row r="8">
      <c r="B8" s="27" t="inlineStr">
        <is>
          <t>Revenue Growth</t>
        </is>
      </c>
      <c r="C8" s="40" t="inlineStr">
        <is>
          <t>N/A</t>
        </is>
      </c>
      <c r="D8" s="41" t="n">
        <v>0.08187368268042738</v>
      </c>
      <c r="E8" s="41" t="n">
        <v>0.06805280306338379</v>
      </c>
      <c r="F8" s="41" t="n">
        <v>0.04324307324590371</v>
      </c>
    </row>
    <row r="9">
      <c r="B9" s="27" t="inlineStr">
        <is>
          <t>EBIT / Operating Income</t>
        </is>
      </c>
      <c r="C9" s="39" t="n">
        <v>4044</v>
      </c>
      <c r="D9" s="39" t="n">
        <v>4944</v>
      </c>
      <c r="E9" s="39" t="n">
        <v>5763</v>
      </c>
      <c r="F9" s="39" t="n">
        <v>6396</v>
      </c>
    </row>
    <row r="10">
      <c r="B10" s="27" t="inlineStr">
        <is>
          <t>EBIT Margin  (EBIT / Revenue)</t>
        </is>
      </c>
      <c r="C10" s="41" t="n">
        <v>0.1469583545315793</v>
      </c>
      <c r="D10" s="41" t="n">
        <v>0.1660676497262437</v>
      </c>
      <c r="E10" s="41" t="n">
        <v>0.1812435135390131</v>
      </c>
      <c r="F10" s="41" t="n">
        <v>0.1928132159652719</v>
      </c>
    </row>
    <row r="11">
      <c r="B11" s="27" t="inlineStr">
        <is>
          <t>Depreciation &amp; Amortisation</t>
        </is>
      </c>
      <c r="C11" s="39" t="n">
        <v>1317</v>
      </c>
      <c r="D11" s="39" t="n">
        <v>1072</v>
      </c>
      <c r="E11" s="39" t="n">
        <v>1032</v>
      </c>
      <c r="F11" s="39" t="n">
        <v>963</v>
      </c>
    </row>
    <row r="12">
      <c r="B12" s="27" t="inlineStr">
        <is>
          <t>Capital Expenditure</t>
        </is>
      </c>
      <c r="C12" s="39" t="n">
        <v>706</v>
      </c>
      <c r="D12" s="39" t="n">
        <v>623</v>
      </c>
      <c r="E12" s="39" t="n">
        <v>683</v>
      </c>
      <c r="F12" s="39" t="n">
        <v>852</v>
      </c>
    </row>
    <row r="13">
      <c r="B13" s="27" t="inlineStr">
        <is>
          <t>Net Working Capital (ex cash &amp; ST debt)</t>
        </is>
      </c>
      <c r="C13" s="39" t="n">
        <v>1565</v>
      </c>
      <c r="D13" s="39" t="n">
        <v>46</v>
      </c>
      <c r="E13" s="39" t="n">
        <v>1793</v>
      </c>
      <c r="F13" s="39" t="n">
        <v>2894</v>
      </c>
    </row>
    <row r="14">
      <c r="B14" s="27" t="inlineStr">
        <is>
          <t>Cash</t>
        </is>
      </c>
      <c r="C14" s="39" t="n">
        <v>10851</v>
      </c>
      <c r="D14" s="39" t="n">
        <v>14057</v>
      </c>
      <c r="E14" s="39" t="n">
        <v>10923</v>
      </c>
      <c r="F14" s="39" t="n">
        <v>10422</v>
      </c>
    </row>
    <row r="15">
      <c r="B15" s="27" t="inlineStr">
        <is>
          <t>Total Debt</t>
        </is>
      </c>
      <c r="C15" s="39" t="n">
        <v>10417</v>
      </c>
      <c r="D15" s="39" t="n">
        <v>9676</v>
      </c>
      <c r="E15" s="39" t="n">
        <v>9879</v>
      </c>
      <c r="F15" s="39" t="n">
        <v>9987</v>
      </c>
    </row>
    <row r="16">
      <c r="B16" s="27" t="inlineStr">
        <is>
          <t>Shares Outstanding (m)</t>
        </is>
      </c>
      <c r="C16" s="39" t="n">
        <v>1136</v>
      </c>
      <c r="D16" s="39" t="n">
        <v>1072</v>
      </c>
      <c r="E16" s="39" t="n">
        <v>993</v>
      </c>
      <c r="F16" s="39" t="n">
        <v>920</v>
      </c>
    </row>
    <row r="17">
      <c r="B17" s="42" t="inlineStr">
        <is>
          <t>Net Debt</t>
        </is>
      </c>
      <c r="C17" s="43" t="n">
        <v>-434</v>
      </c>
      <c r="D17" s="43" t="n">
        <v>-4381</v>
      </c>
      <c r="E17" s="43" t="n">
        <v>-1044</v>
      </c>
      <c r="F17" s="43" t="n">
        <v>-435</v>
      </c>
    </row>
    <row r="19" ht="20" customHeight="1">
      <c r="B19" s="24" t="inlineStr">
        <is>
          <t>2. WACC  (calculated reference)</t>
        </is>
      </c>
      <c r="C19" s="24" t="n"/>
      <c r="D19" s="24" t="n"/>
      <c r="E19" s="24" t="n"/>
      <c r="F19" s="24" t="n"/>
      <c r="G19" s="24" t="n"/>
      <c r="H19" s="24" t="n"/>
    </row>
    <row r="20">
      <c r="B20" s="25" t="inlineStr">
        <is>
          <t>Input</t>
        </is>
      </c>
      <c r="C20" s="26" t="inlineStr">
        <is>
          <t>Value</t>
        </is>
      </c>
      <c r="D20" s="26" t="inlineStr">
        <is>
          <t>Source</t>
        </is>
      </c>
      <c r="E20" s="15" t="n"/>
      <c r="F20" s="15" t="n"/>
      <c r="G20" s="15" t="n"/>
      <c r="H20" s="8" t="n"/>
    </row>
    <row r="21">
      <c r="B21" s="27" t="inlineStr">
        <is>
          <t>Risk-Free Rate</t>
        </is>
      </c>
      <c r="C21" s="41" t="n">
        <v>0.04998000144958496</v>
      </c>
      <c r="D21" s="38" t="inlineStr">
        <is>
          <t>Market data: US 10Y Treasury yield (^TNX)</t>
        </is>
      </c>
    </row>
    <row r="22">
      <c r="B22" s="27" t="inlineStr">
        <is>
          <t>Beta</t>
        </is>
      </c>
      <c r="C22" s="44" t="n">
        <v>1.286</v>
      </c>
      <c r="D22" s="38" t="inlineStr">
        <is>
          <t>Market data: Yahoo Finance beta</t>
        </is>
      </c>
    </row>
    <row r="23">
      <c r="B23" s="27" t="inlineStr">
        <is>
          <t>Equity Risk Premium</t>
        </is>
      </c>
      <c r="C23" s="41" t="n">
        <v>0.05</v>
      </c>
      <c r="D23" s="38" t="inlineStr">
        <is>
          <t>Assumption: equity risk premium</t>
        </is>
      </c>
    </row>
    <row r="24">
      <c r="B24" s="27" t="inlineStr">
        <is>
          <t>Cost of Equity = Rf + Beta x ERP</t>
        </is>
      </c>
      <c r="C24" s="41" t="n">
        <v>0.114280001449585</v>
      </c>
      <c r="D24" s="38" t="inlineStr">
        <is>
          <t>Calculated: Rf + Beta x ERP</t>
        </is>
      </c>
    </row>
    <row r="25">
      <c r="B25" s="27" t="inlineStr">
        <is>
          <t>Pre-Tax Cost of Debt</t>
        </is>
      </c>
      <c r="C25" s="41" t="n">
        <v>0.04415740462601381</v>
      </c>
      <c r="D25" s="38" t="inlineStr">
        <is>
          <t>Historical data: interest expense / total debt</t>
        </is>
      </c>
    </row>
    <row r="26">
      <c r="B26" s="27" t="inlineStr">
        <is>
          <t>Tax Rate</t>
        </is>
      </c>
      <c r="C26" s="41" t="n">
        <v>0.1683089637635092</v>
      </c>
      <c r="D26" s="38" t="inlineStr">
        <is>
          <t>Historical data: latest effective tax rate</t>
        </is>
      </c>
    </row>
    <row r="27">
      <c r="B27" s="27" t="inlineStr">
        <is>
          <t>Market Value of Equity (m USD)</t>
        </is>
      </c>
      <c r="C27" s="39" t="n">
        <v>44834.705408</v>
      </c>
      <c r="D27" s="38" t="inlineStr">
        <is>
          <t>Market data: market capitalisation</t>
        </is>
      </c>
    </row>
    <row r="28">
      <c r="B28" s="27" t="inlineStr">
        <is>
          <t>Market Value of Debt (m USD)</t>
        </is>
      </c>
      <c r="C28" s="39" t="n">
        <v>9987</v>
      </c>
      <c r="D28" s="38" t="inlineStr">
        <is>
          <t>Historical data: book value of debt used as proxy for market value</t>
        </is>
      </c>
    </row>
    <row r="29">
      <c r="B29" s="27" t="inlineStr">
        <is>
          <t>Equity Weight  E/V</t>
        </is>
      </c>
      <c r="C29" s="41" t="n">
        <v>0.8178276300294989</v>
      </c>
      <c r="D29" s="38" t="inlineStr">
        <is>
          <t>Calculated: E / (D+E)</t>
        </is>
      </c>
    </row>
    <row r="30">
      <c r="B30" s="27" t="inlineStr">
        <is>
          <t>Debt Weight  D/V</t>
        </is>
      </c>
      <c r="C30" s="41" t="n">
        <v>0.1821723699705012</v>
      </c>
      <c r="D30" s="38" t="inlineStr">
        <is>
          <t>Calculated: D / (D+E)</t>
        </is>
      </c>
    </row>
    <row r="31">
      <c r="B31" s="45" t="inlineStr">
        <is>
          <t>Calculated WACC = E/V x Ke + D/V x Kd x (1 - t)</t>
        </is>
      </c>
      <c r="C31" s="46" t="n">
        <v>0.1001516808923831</v>
      </c>
    </row>
    <row r="32">
      <c r="B32" s="25" t="inlineStr">
        <is>
          <t>WACC USED IN DCF (user selection)</t>
        </is>
      </c>
      <c r="C32" s="47" t="n">
        <v>0.09</v>
      </c>
      <c r="D32" s="38" t="inlineStr">
        <is>
          <t>User assumption (default 9.0%, allowed 7%-12%)</t>
        </is>
      </c>
    </row>
    <row r="34" ht="20" customHeight="1">
      <c r="B34" s="24" t="inlineStr">
        <is>
          <t>3. FORECAST ASSUMPTIONS</t>
        </is>
      </c>
      <c r="C34" s="24" t="n"/>
      <c r="D34" s="24" t="n"/>
      <c r="E34" s="24" t="n"/>
      <c r="F34" s="24" t="n"/>
      <c r="G34" s="24" t="n"/>
      <c r="H34" s="24" t="n"/>
    </row>
    <row r="35">
      <c r="B35" s="25" t="inlineStr">
        <is>
          <t>Driver</t>
        </is>
      </c>
      <c r="C35" s="26" t="inlineStr">
        <is>
          <t>Value</t>
        </is>
      </c>
      <c r="D35" s="26" t="inlineStr">
        <is>
          <t>Source</t>
        </is>
      </c>
      <c r="E35" s="15" t="n"/>
      <c r="F35" s="15" t="n"/>
      <c r="G35" s="15" t="n"/>
      <c r="H35" s="8" t="n"/>
    </row>
    <row r="36">
      <c r="B36" s="27" t="inlineStr">
        <is>
          <t>Base-Year Revenue (m)</t>
        </is>
      </c>
      <c r="C36" s="39" t="n">
        <v>33172</v>
      </c>
      <c r="D36" s="38" t="inlineStr">
        <is>
          <t>Historical data: latest annual revenue</t>
        </is>
      </c>
    </row>
    <row r="37">
      <c r="B37" s="27" t="inlineStr">
        <is>
          <t>Revenue Growth (each year)</t>
        </is>
      </c>
      <c r="C37" s="32" t="n">
        <v>0.03</v>
      </c>
      <c r="D37" s="38" t="inlineStr">
        <is>
          <t>User assumption: terminal growth rate applied to all years</t>
        </is>
      </c>
    </row>
    <row r="38">
      <c r="B38" s="27" t="inlineStr">
        <is>
          <t>EBIT Margin</t>
        </is>
      </c>
      <c r="C38" s="41" t="n">
        <v>0.1800414597435096</v>
      </c>
      <c r="D38" s="38" t="inlineStr">
        <is>
          <t>Historical data: 3-yr average EBIT margin</t>
        </is>
      </c>
    </row>
    <row r="39">
      <c r="B39" s="27" t="inlineStr">
        <is>
          <t>D&amp;A % of Revenue</t>
        </is>
      </c>
      <c r="C39" s="41" t="n">
        <v>0.03249819853922791</v>
      </c>
      <c r="D39" s="38" t="inlineStr">
        <is>
          <t>Historical data: 3-yr average D&amp;A % of revenue</t>
        </is>
      </c>
    </row>
    <row r="40">
      <c r="B40" s="27" t="inlineStr">
        <is>
          <t>CapEx % of Revenue</t>
        </is>
      </c>
      <c r="C40" s="41" t="n">
        <v>0.02269691026628989</v>
      </c>
      <c r="D40" s="38" t="inlineStr">
        <is>
          <t>Historical data: 3-yr average CapEx % of revenue</t>
        </is>
      </c>
    </row>
    <row r="41">
      <c r="B41" s="27" t="inlineStr">
        <is>
          <t>NWC % of Revenue</t>
        </is>
      </c>
      <c r="C41" s="41" t="n">
        <v>0.08724225250211021</v>
      </c>
      <c r="D41" s="38" t="inlineStr">
        <is>
          <t>Historical data: latest NWC % of revenue</t>
        </is>
      </c>
    </row>
    <row r="42">
      <c r="B42" s="27" t="inlineStr">
        <is>
          <t>Tax Rate</t>
        </is>
      </c>
      <c r="C42" s="41" t="n">
        <v>0.1683089637635092</v>
      </c>
      <c r="D42" s="38" t="inlineStr">
        <is>
          <t>Historical data: latest effective tax rate</t>
        </is>
      </c>
    </row>
    <row r="44" ht="20" customHeight="1">
      <c r="B44" s="24" t="inlineStr">
        <is>
          <t>4. FIVE-YEAR FCFF PROJECTION  (all figures Projected)</t>
        </is>
      </c>
      <c r="C44" s="24" t="n"/>
      <c r="D44" s="24" t="n"/>
      <c r="E44" s="24" t="n"/>
      <c r="F44" s="24" t="n"/>
      <c r="G44" s="24" t="n"/>
      <c r="H44" s="24" t="n"/>
    </row>
    <row r="45">
      <c r="B45" s="25" t="inlineStr">
        <is>
          <t>(millions)</t>
        </is>
      </c>
      <c r="C45" s="26" t="inlineStr">
        <is>
          <t>Year 1</t>
        </is>
      </c>
      <c r="D45" s="26" t="inlineStr">
        <is>
          <t>Year 2</t>
        </is>
      </c>
      <c r="E45" s="26" t="inlineStr">
        <is>
          <t>Year 3</t>
        </is>
      </c>
      <c r="F45" s="26" t="inlineStr">
        <is>
          <t>Year 4</t>
        </is>
      </c>
      <c r="G45" s="26" t="inlineStr">
        <is>
          <t>Year 5</t>
        </is>
      </c>
    </row>
    <row r="46">
      <c r="B46" s="48" t="inlineStr">
        <is>
          <t>Status</t>
        </is>
      </c>
      <c r="C46" s="49" t="inlineStr">
        <is>
          <t>Projected</t>
        </is>
      </c>
      <c r="D46" s="49" t="inlineStr">
        <is>
          <t>Projected</t>
        </is>
      </c>
      <c r="E46" s="49" t="inlineStr">
        <is>
          <t>Projected</t>
        </is>
      </c>
      <c r="F46" s="49" t="inlineStr">
        <is>
          <t>Projected</t>
        </is>
      </c>
      <c r="G46" s="49" t="inlineStr">
        <is>
          <t>Projected</t>
        </is>
      </c>
    </row>
    <row r="47">
      <c r="B47" s="42" t="inlineStr">
        <is>
          <t>Revenue</t>
        </is>
      </c>
      <c r="C47" s="43" t="n">
        <v>34167.16</v>
      </c>
      <c r="D47" s="43" t="n">
        <v>35192.1748</v>
      </c>
      <c r="E47" s="43" t="n">
        <v>36247.940044</v>
      </c>
      <c r="F47" s="43" t="n">
        <v>37335.37824532</v>
      </c>
      <c r="G47" s="43" t="n">
        <v>38455.43959267961</v>
      </c>
    </row>
    <row r="48">
      <c r="B48" s="27" t="inlineStr">
        <is>
          <t>Revenue Growth</t>
        </is>
      </c>
      <c r="C48" s="41" t="n">
        <v>0.03</v>
      </c>
      <c r="D48" s="41" t="n">
        <v>0.03</v>
      </c>
      <c r="E48" s="41" t="n">
        <v>0.03</v>
      </c>
      <c r="F48" s="41" t="n">
        <v>0.03</v>
      </c>
      <c r="G48" s="41" t="n">
        <v>0.03</v>
      </c>
    </row>
    <row r="49">
      <c r="B49" s="27" t="inlineStr">
        <is>
          <t>EBIT</t>
        </is>
      </c>
      <c r="C49" s="39" t="n">
        <v>6151.50536169005</v>
      </c>
      <c r="D49" s="39" t="n">
        <v>6336.050522540752</v>
      </c>
      <c r="E49" s="39" t="n">
        <v>6526.132038216974</v>
      </c>
      <c r="F49" s="39" t="n">
        <v>6721.915999363483</v>
      </c>
      <c r="G49" s="39" t="n">
        <v>6923.573479344389</v>
      </c>
    </row>
    <row r="50">
      <c r="B50" s="27" t="inlineStr">
        <is>
          <t>EBIT Margin</t>
        </is>
      </c>
      <c r="C50" s="41" t="n">
        <v>0.1800414597435096</v>
      </c>
      <c r="D50" s="41" t="n">
        <v>0.1800414597435096</v>
      </c>
      <c r="E50" s="41" t="n">
        <v>0.1800414597435096</v>
      </c>
      <c r="F50" s="41" t="n">
        <v>0.1800414597435096</v>
      </c>
      <c r="G50" s="41" t="n">
        <v>0.1800414597435096</v>
      </c>
    </row>
    <row r="51">
      <c r="B51" s="27" t="inlineStr">
        <is>
          <t>Less: Taxes on EBIT</t>
        </is>
      </c>
      <c r="C51" s="39" t="n">
        <v>1035.353493011723</v>
      </c>
      <c r="D51" s="39" t="n">
        <v>1066.414097802075</v>
      </c>
      <c r="E51" s="39" t="n">
        <v>1098.406520736137</v>
      </c>
      <c r="F51" s="39" t="n">
        <v>1131.358716358221</v>
      </c>
      <c r="G51" s="39" t="n">
        <v>1165.299477848968</v>
      </c>
    </row>
    <row r="52">
      <c r="B52" s="42" t="inlineStr">
        <is>
          <t>NOPAT = EBIT x (1 - t)</t>
        </is>
      </c>
      <c r="C52" s="43" t="n">
        <v>5116.151868678327</v>
      </c>
      <c r="D52" s="43" t="n">
        <v>5269.636424738677</v>
      </c>
      <c r="E52" s="43" t="n">
        <v>5427.725517480837</v>
      </c>
      <c r="F52" s="43" t="n">
        <v>5590.557283005262</v>
      </c>
      <c r="G52" s="43" t="n">
        <v>5758.274001495421</v>
      </c>
    </row>
    <row r="53">
      <c r="B53" s="27" t="inlineStr">
        <is>
          <t>Plus: D&amp;A</t>
        </is>
      </c>
      <c r="C53" s="39" t="n">
        <v>1110.371149201566</v>
      </c>
      <c r="D53" s="39" t="n">
        <v>1143.682283677613</v>
      </c>
      <c r="E53" s="39" t="n">
        <v>1177.992752187942</v>
      </c>
      <c r="F53" s="39" t="n">
        <v>1213.33253475358</v>
      </c>
      <c r="G53" s="39" t="n">
        <v>1249.732510796187</v>
      </c>
    </row>
    <row r="54">
      <c r="B54" s="27" t="inlineStr">
        <is>
          <t>Less: Capital Expenditure</t>
        </is>
      </c>
      <c r="C54" s="39" t="n">
        <v>775.4889645739694</v>
      </c>
      <c r="D54" s="39" t="n">
        <v>798.7536335111885</v>
      </c>
      <c r="E54" s="39" t="n">
        <v>822.7162425165242</v>
      </c>
      <c r="F54" s="39" t="n">
        <v>847.3977297920198</v>
      </c>
      <c r="G54" s="39" t="n">
        <v>872.8196616857805</v>
      </c>
    </row>
    <row r="55">
      <c r="B55" s="27" t="inlineStr">
        <is>
          <t>Less: Change in NWC</t>
        </is>
      </c>
      <c r="C55" s="39" t="n">
        <v>86.81999999999999</v>
      </c>
      <c r="D55" s="39" t="n">
        <v>89.4246</v>
      </c>
      <c r="E55" s="39" t="n">
        <v>92.107338</v>
      </c>
      <c r="F55" s="39" t="n">
        <v>94.87055813999997</v>
      </c>
      <c r="G55" s="39" t="n">
        <v>97.71667488420033</v>
      </c>
    </row>
    <row r="56">
      <c r="B56" s="45" t="inlineStr">
        <is>
          <t>FCFF = NOPAT + D&amp;A - CapEx - dNWC</t>
        </is>
      </c>
      <c r="C56" s="50" t="n">
        <v>5364.214053305924</v>
      </c>
      <c r="D56" s="50" t="n">
        <v>5525.140474905102</v>
      </c>
      <c r="E56" s="50" t="n">
        <v>5690.894689152254</v>
      </c>
      <c r="F56" s="50" t="n">
        <v>5861.621529826823</v>
      </c>
      <c r="G56" s="50" t="n">
        <v>6037.470175721627</v>
      </c>
    </row>
    <row r="57">
      <c r="B57" s="27" t="inlineStr">
        <is>
          <t>Memo: EBITDA (EBIT + D&amp;A)</t>
        </is>
      </c>
      <c r="C57" s="39" t="n">
        <v>7261.876510891617</v>
      </c>
      <c r="D57" s="39" t="n">
        <v>7479.732806218366</v>
      </c>
      <c r="E57" s="39" t="n">
        <v>7704.124790404916</v>
      </c>
      <c r="F57" s="39" t="n">
        <v>7935.248534117063</v>
      </c>
      <c r="G57" s="39" t="n">
        <v>8173.305990140577</v>
      </c>
    </row>
    <row r="58">
      <c r="B58" s="27" t="inlineStr">
        <is>
          <t>Discount Factor  1/(1+WACC)^t</t>
        </is>
      </c>
      <c r="C58" s="51" t="n">
        <v>0.9174311926605504</v>
      </c>
      <c r="D58" s="51" t="n">
        <v>0.84167999326656</v>
      </c>
      <c r="E58" s="51" t="n">
        <v>0.7721834800610642</v>
      </c>
      <c r="F58" s="51" t="n">
        <v>0.7084252110651963</v>
      </c>
      <c r="G58" s="51" t="n">
        <v>0.6499313862983452</v>
      </c>
    </row>
    <row r="59">
      <c r="B59" s="42" t="inlineStr">
        <is>
          <t>PV of FCFF</t>
        </is>
      </c>
      <c r="C59" s="43" t="n">
        <v>4921.297296610939</v>
      </c>
      <c r="D59" s="43" t="n">
        <v>4650.400197714924</v>
      </c>
      <c r="E59" s="43" t="n">
        <v>4394.414865730616</v>
      </c>
      <c r="F59" s="43" t="n">
        <v>4152.520469451865</v>
      </c>
      <c r="G59" s="43" t="n">
        <v>3923.941361041671</v>
      </c>
    </row>
    <row r="61" ht="20" customHeight="1">
      <c r="B61" s="24" t="inlineStr">
        <is>
          <t>5. DCF VALUATION - TWO TERMINAL VALUE METHODS</t>
        </is>
      </c>
      <c r="C61" s="24" t="n"/>
      <c r="D61" s="24" t="n"/>
      <c r="E61" s="24" t="n"/>
      <c r="F61" s="24" t="n"/>
      <c r="G61" s="24" t="n"/>
      <c r="H61" s="24" t="n"/>
    </row>
    <row r="62">
      <c r="B62" s="25" t="inlineStr">
        <is>
          <t>(millions)</t>
        </is>
      </c>
      <c r="C62" s="26" t="inlineStr">
        <is>
          <t>Perpetual Growth</t>
        </is>
      </c>
      <c r="D62" s="26" t="inlineStr">
        <is>
          <t>Exit Multiple</t>
        </is>
      </c>
    </row>
    <row r="63">
      <c r="B63" s="27" t="inlineStr">
        <is>
          <t>Terminal assumption</t>
        </is>
      </c>
      <c r="C63" s="40" t="inlineStr">
        <is>
          <t>g = 3.0%</t>
        </is>
      </c>
      <c r="D63" s="40" t="inlineStr">
        <is>
          <t>11.0x EBITDA</t>
        </is>
      </c>
    </row>
    <row r="64">
      <c r="B64" s="27" t="inlineStr">
        <is>
          <t>Sum of PV of Forecast FCFF</t>
        </is>
      </c>
      <c r="C64" s="39" t="n">
        <v>22042.57419055001</v>
      </c>
      <c r="D64" s="39" t="n">
        <v>22042.57419055001</v>
      </c>
    </row>
    <row r="65">
      <c r="B65" s="27" t="inlineStr">
        <is>
          <t>Terminal Value (undiscounted)</t>
        </is>
      </c>
      <c r="C65" s="39" t="n">
        <v>103643.2380165546</v>
      </c>
      <c r="D65" s="39" t="n">
        <v>89906.36589154635</v>
      </c>
    </row>
    <row r="66">
      <c r="B66" s="27" t="inlineStr">
        <is>
          <t>PV of Terminal Value</t>
        </is>
      </c>
      <c r="C66" s="39" t="n">
        <v>67360.9933645487</v>
      </c>
      <c r="D66" s="39" t="n">
        <v>58432.96902093897</v>
      </c>
    </row>
    <row r="67">
      <c r="B67" s="42" t="inlineStr">
        <is>
          <t>Enterprise Value</t>
        </is>
      </c>
      <c r="C67" s="43" t="n">
        <v>89403.56755509871</v>
      </c>
      <c r="D67" s="43" t="n">
        <v>80475.54321148898</v>
      </c>
    </row>
    <row r="68">
      <c r="B68" s="27" t="inlineStr">
        <is>
          <t>Less: Net Debt</t>
        </is>
      </c>
      <c r="C68" s="39" t="n">
        <v>-435</v>
      </c>
      <c r="D68" s="39" t="n">
        <v>-435</v>
      </c>
    </row>
    <row r="69">
      <c r="B69" s="42" t="inlineStr">
        <is>
          <t>Equity Value</t>
        </is>
      </c>
      <c r="C69" s="43" t="n">
        <v>89838.56755509871</v>
      </c>
      <c r="D69" s="43" t="n">
        <v>80910.54321148898</v>
      </c>
    </row>
    <row r="70">
      <c r="B70" s="27" t="inlineStr">
        <is>
          <t>Shares Outstanding (m)</t>
        </is>
      </c>
      <c r="C70" s="39" t="n">
        <v>855.460874</v>
      </c>
      <c r="D70" s="39" t="n">
        <v>855.460874</v>
      </c>
      <c r="H70" s="38" t="inlineStr">
        <is>
          <t>TV(perpetual) = FCFF5 x (1+g) / (WACC - g);  TV(exit) = EBITDA5 x multiple</t>
        </is>
      </c>
    </row>
    <row r="71">
      <c r="B71" s="45" t="inlineStr">
        <is>
          <t>Implied Share Price</t>
        </is>
      </c>
      <c r="C71" s="52" t="n">
        <v>105.0177398938513</v>
      </c>
      <c r="D71" s="52" t="n">
        <v>94.5812317904898</v>
      </c>
    </row>
    <row r="72">
      <c r="B72" s="27" t="inlineStr">
        <is>
          <t>Terminal Value as % of EV</t>
        </is>
      </c>
      <c r="C72" s="41" t="n">
        <v>0.7534486062095302</v>
      </c>
      <c r="D72" s="41" t="n">
        <v>0.7260959875396885</v>
      </c>
    </row>
    <row r="74">
      <c r="B74" s="25" t="inlineStr">
        <is>
          <t>DCF IMPLIED PRICE (average of the two methods)</t>
        </is>
      </c>
      <c r="C74" s="53" t="n">
        <v>99.79948584217055</v>
      </c>
    </row>
  </sheetData>
  <mergeCells count="5">
    <mergeCell ref="D35:H35"/>
    <mergeCell ref="D20:H20"/>
    <mergeCell ref="B1:H1"/>
    <mergeCell ref="B2:H2"/>
    <mergeCell ref="B3:H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1:I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4" customWidth="1" min="9" max="9"/>
  </cols>
  <sheetData>
    <row r="1" ht="30" customHeight="1">
      <c r="B1" s="36" t="inlineStr">
        <is>
          <t>COMPARABLE COMPANY ANALYSIS (CCA)</t>
        </is>
      </c>
    </row>
    <row r="2">
      <c r="B2" s="37" t="inlineStr">
        <is>
          <t>PayPal Holdings, Inc. (PYPL)  |  Analysis date 21 Sep 2026</t>
        </is>
      </c>
    </row>
    <row r="3" ht="26" customHeight="1">
      <c r="B3" s="54" t="inlineStr">
        <is>
          <t>Peers from Yahoo Finance industry/sector lists (or user-supplied). Market data, millions in each company's own reporting/trading currency. Multiples that are negative, undefined or extreme (P/E &gt; 100x, EV/EBITDA &gt; 50x) are shown as N/A and excluded from the statistics.</t>
        </is>
      </c>
    </row>
    <row r="5" ht="20" customHeight="1">
      <c r="B5" s="24" t="inlineStr">
        <is>
          <t>PEER GROUP</t>
        </is>
      </c>
      <c r="C5" s="24" t="n"/>
      <c r="D5" s="24" t="n"/>
      <c r="E5" s="24" t="n"/>
      <c r="F5" s="24" t="n"/>
      <c r="G5" s="24" t="n"/>
      <c r="H5" s="24" t="n"/>
      <c r="I5" s="24" t="n"/>
    </row>
    <row r="6">
      <c r="B6" s="25" t="inlineStr">
        <is>
          <t>Company</t>
        </is>
      </c>
      <c r="C6" s="26" t="inlineStr">
        <is>
          <t>Ticker</t>
        </is>
      </c>
      <c r="D6" s="26" t="inlineStr">
        <is>
          <t>Market Cap (m)</t>
        </is>
      </c>
      <c r="E6" s="26" t="inlineStr">
        <is>
          <t>Enterprise Value (m)</t>
        </is>
      </c>
      <c r="F6" s="26" t="inlineStr">
        <is>
          <t>Revenue (m)</t>
        </is>
      </c>
      <c r="G6" s="26" t="inlineStr">
        <is>
          <t>EBITDA (m)</t>
        </is>
      </c>
      <c r="H6" s="26" t="inlineStr">
        <is>
          <t>P/E</t>
        </is>
      </c>
      <c r="I6" s="26" t="inlineStr">
        <is>
          <t>EV/EBITDA</t>
        </is>
      </c>
    </row>
    <row r="7">
      <c r="B7" s="25" t="inlineStr">
        <is>
          <t>PayPal Holdings, Inc. (Target)</t>
        </is>
      </c>
      <c r="C7" s="25" t="inlineStr">
        <is>
          <t>PYPL</t>
        </is>
      </c>
      <c r="D7" s="55" t="n">
        <v>44834.705408</v>
      </c>
      <c r="E7" s="55" t="n">
        <v>47799.7056</v>
      </c>
      <c r="F7" s="55" t="n">
        <v>33172</v>
      </c>
      <c r="G7" s="55" t="n">
        <v>6456</v>
      </c>
      <c r="H7" s="56" t="n">
        <v>9.907372000000001</v>
      </c>
      <c r="I7" s="56" t="n">
        <v>7.403919702602231</v>
      </c>
    </row>
    <row r="8">
      <c r="B8" s="27" t="inlineStr">
        <is>
          <t>Synchrony Financial</t>
        </is>
      </c>
      <c r="C8" s="27" t="inlineStr">
        <is>
          <t>SYF</t>
        </is>
      </c>
      <c r="D8" s="39" t="n">
        <v>24415.827968</v>
      </c>
      <c r="E8" s="39" t="n">
        <v>26370.828288</v>
      </c>
      <c r="F8" s="39" t="n">
        <v>9907.999744000001</v>
      </c>
      <c r="G8" s="40" t="inlineStr">
        <is>
          <t>N/A</t>
        </is>
      </c>
      <c r="H8" s="57" t="n">
        <v>7.69641</v>
      </c>
      <c r="I8" s="40" t="inlineStr">
        <is>
          <t>N/A</t>
        </is>
      </c>
    </row>
    <row r="9">
      <c r="B9" s="27" t="inlineStr">
        <is>
          <t>Affirm Holdings, Inc.</t>
        </is>
      </c>
      <c r="C9" s="27" t="inlineStr">
        <is>
          <t>AFRM</t>
        </is>
      </c>
      <c r="D9" s="39" t="n">
        <v>24027.766784</v>
      </c>
      <c r="E9" s="39" t="n">
        <v>32348.674048</v>
      </c>
      <c r="F9" s="39" t="n">
        <v>4261.082112</v>
      </c>
      <c r="G9" s="39" t="n">
        <v>739.193984</v>
      </c>
      <c r="H9" s="57" t="n">
        <v>12.877033</v>
      </c>
      <c r="I9" s="57" t="n">
        <v>43.76209053129956</v>
      </c>
    </row>
    <row r="10">
      <c r="B10" s="27" t="inlineStr">
        <is>
          <t>SoFi Technologies, Inc.</t>
        </is>
      </c>
      <c r="C10" s="27" t="inlineStr">
        <is>
          <t>SOFI</t>
        </is>
      </c>
      <c r="D10" s="39" t="n">
        <v>21905.031168</v>
      </c>
      <c r="E10" s="39" t="n">
        <v>21953.908736</v>
      </c>
      <c r="F10" s="39" t="n">
        <v>4268.43904</v>
      </c>
      <c r="G10" s="40" t="inlineStr">
        <is>
          <t>N/A</t>
        </is>
      </c>
      <c r="H10" s="57" t="n">
        <v>34.612244</v>
      </c>
      <c r="I10" s="40" t="inlineStr">
        <is>
          <t>N/A</t>
        </is>
      </c>
    </row>
    <row r="11">
      <c r="B11" s="27" t="inlineStr">
        <is>
          <t>Capital One Financial Corporati</t>
        </is>
      </c>
      <c r="C11" s="27" t="inlineStr">
        <is>
          <t>COF</t>
        </is>
      </c>
      <c r="D11" s="39" t="n">
        <v>124187.738112</v>
      </c>
      <c r="E11" s="39" t="n">
        <v>127356.731392</v>
      </c>
      <c r="F11" s="39" t="n">
        <v>48109.99808</v>
      </c>
      <c r="G11" s="40" t="inlineStr">
        <is>
          <t>N/A</t>
        </is>
      </c>
      <c r="H11" s="57" t="n">
        <v>11.147026</v>
      </c>
      <c r="I11" s="40" t="inlineStr">
        <is>
          <t>N/A</t>
        </is>
      </c>
    </row>
    <row r="12">
      <c r="B12" s="27" t="inlineStr">
        <is>
          <t>Ally Financial Inc.</t>
        </is>
      </c>
      <c r="C12" s="27" t="inlineStr">
        <is>
          <t>ALLY</t>
        </is>
      </c>
      <c r="D12" s="39" t="n">
        <v>12167.9872</v>
      </c>
      <c r="E12" s="39" t="n">
        <v>29266.987008</v>
      </c>
      <c r="F12" s="39" t="n">
        <v>7897.999872</v>
      </c>
      <c r="G12" s="40" t="inlineStr">
        <is>
          <t>N/A</t>
        </is>
      </c>
      <c r="H12" s="57" t="n">
        <v>9.411765000000001</v>
      </c>
      <c r="I12" s="40" t="inlineStr">
        <is>
          <t>N/A</t>
        </is>
      </c>
    </row>
    <row r="14" ht="20" customHeight="1">
      <c r="B14" s="24" t="inlineStr">
        <is>
          <t>PEER STATISTICS</t>
        </is>
      </c>
      <c r="C14" s="24" t="n"/>
      <c r="D14" s="24" t="n"/>
      <c r="E14" s="24" t="n"/>
      <c r="F14" s="24" t="n"/>
      <c r="G14" s="24" t="n"/>
      <c r="H14" s="24" t="n"/>
      <c r="I14" s="24" t="n"/>
    </row>
    <row r="15">
      <c r="B15" s="25" t="inlineStr">
        <is>
          <t>Statistic</t>
        </is>
      </c>
      <c r="C15" s="26" t="inlineStr"/>
      <c r="D15" s="26" t="inlineStr"/>
      <c r="E15" s="26" t="inlineStr"/>
      <c r="F15" s="26" t="inlineStr"/>
      <c r="G15" s="26" t="inlineStr"/>
      <c r="H15" s="26" t="inlineStr">
        <is>
          <t>P/E</t>
        </is>
      </c>
      <c r="I15" s="26" t="inlineStr">
        <is>
          <t>EV/EBITDA</t>
        </is>
      </c>
    </row>
    <row r="16">
      <c r="B16" s="27" t="inlineStr">
        <is>
          <t>25th Percentile</t>
        </is>
      </c>
      <c r="C16" s="27" t="n"/>
      <c r="D16" s="27" t="n"/>
      <c r="E16" s="27" t="n"/>
      <c r="F16" s="27" t="n"/>
      <c r="G16" s="27" t="n"/>
      <c r="H16" s="57" t="n">
        <v>9.411765000000001</v>
      </c>
      <c r="I16" s="57" t="n">
        <v>43.76209053129956</v>
      </c>
    </row>
    <row r="17">
      <c r="B17" s="42" t="inlineStr">
        <is>
          <t>Median</t>
        </is>
      </c>
      <c r="C17" s="27" t="n"/>
      <c r="D17" s="27" t="n"/>
      <c r="E17" s="27" t="n"/>
      <c r="F17" s="27" t="n"/>
      <c r="G17" s="27" t="n"/>
      <c r="H17" s="58" t="n">
        <v>11.147026</v>
      </c>
      <c r="I17" s="58" t="n">
        <v>43.76209053129956</v>
      </c>
    </row>
    <row r="18">
      <c r="B18" s="27" t="inlineStr">
        <is>
          <t>75th Percentile</t>
        </is>
      </c>
      <c r="C18" s="27" t="n"/>
      <c r="D18" s="27" t="n"/>
      <c r="E18" s="27" t="n"/>
      <c r="F18" s="27" t="n"/>
      <c r="G18" s="27" t="n"/>
      <c r="H18" s="57" t="n">
        <v>12.877033</v>
      </c>
      <c r="I18" s="57" t="n">
        <v>43.76209053129956</v>
      </c>
    </row>
    <row r="19">
      <c r="B19" s="48" t="inlineStr">
        <is>
          <t>Number of valid peers</t>
        </is>
      </c>
      <c r="C19" s="27" t="n"/>
      <c r="D19" s="27" t="n"/>
      <c r="E19" s="27" t="n"/>
      <c r="F19" s="27" t="n"/>
      <c r="G19" s="27" t="n"/>
      <c r="H19" s="59" t="n">
        <v>5</v>
      </c>
      <c r="I19" s="59" t="n">
        <v>1</v>
      </c>
    </row>
    <row r="21" ht="20" customHeight="1">
      <c r="B21" s="24" t="inlineStr">
        <is>
          <t>IMPLIED VALUATION OF TARGET</t>
        </is>
      </c>
      <c r="C21" s="24" t="n"/>
      <c r="D21" s="24" t="n"/>
      <c r="E21" s="24" t="n"/>
      <c r="F21" s="24" t="n"/>
      <c r="G21" s="24" t="n"/>
      <c r="H21" s="24" t="n"/>
      <c r="I21" s="24" t="n"/>
    </row>
    <row r="22">
      <c r="B22" s="60" t="inlineStr">
        <is>
          <t>A. EV/EBITDA method</t>
        </is>
      </c>
    </row>
    <row r="23">
      <c r="B23" s="27" t="inlineStr">
        <is>
          <t>Target EBITDA (m)</t>
        </is>
      </c>
      <c r="C23" s="39" t="n">
        <v>6456</v>
      </c>
    </row>
    <row r="24">
      <c r="B24" s="27" t="inlineStr">
        <is>
          <t>x Median EV/EBITDA</t>
        </is>
      </c>
      <c r="C24" s="57" t="n">
        <v>43.76209053129956</v>
      </c>
    </row>
    <row r="25">
      <c r="B25" s="27">
        <f> Implied Enterprise Value (m)</f>
        <v/>
      </c>
      <c r="C25" s="39" t="n">
        <v>282528.05647007</v>
      </c>
    </row>
    <row r="26">
      <c r="B26" s="27" t="inlineStr">
        <is>
          <t>- Net Debt (m)</t>
        </is>
      </c>
      <c r="C26" s="39" t="n">
        <v>-435</v>
      </c>
    </row>
    <row r="27">
      <c r="B27" s="27">
        <f> Implied Equity Value (m)</f>
        <v/>
      </c>
      <c r="C27" s="39" t="n">
        <v>282963.05647007</v>
      </c>
    </row>
    <row r="28">
      <c r="B28" s="27" t="inlineStr">
        <is>
          <t>/ Shares Outstanding (m)</t>
        </is>
      </c>
      <c r="C28" s="39" t="n">
        <v>855.460874</v>
      </c>
    </row>
    <row r="29">
      <c r="B29" s="42">
        <f> EV/EBITDA Implied Share Price</f>
        <v/>
      </c>
      <c r="C29" s="29" t="n">
        <v>330.7726455646994</v>
      </c>
    </row>
    <row r="31">
      <c r="B31" s="60" t="inlineStr">
        <is>
          <t>B. P/E method</t>
        </is>
      </c>
    </row>
    <row r="32">
      <c r="B32" s="27" t="inlineStr">
        <is>
          <t>Target EPS (trailing)</t>
        </is>
      </c>
      <c r="C32" s="28" t="n">
        <v>5.290000213982072</v>
      </c>
    </row>
    <row r="33">
      <c r="B33" s="27" t="inlineStr">
        <is>
          <t>x Median P/E</t>
        </is>
      </c>
      <c r="C33" s="57" t="n">
        <v>11.147026</v>
      </c>
    </row>
    <row r="34">
      <c r="B34" s="42">
        <f> P/E Implied Share Price</f>
        <v/>
      </c>
      <c r="C34" s="29" t="n">
        <v>58.96776992526372</v>
      </c>
    </row>
    <row r="36">
      <c r="B36" s="25" t="inlineStr">
        <is>
          <t>CCA IMPLIED PRICE (average of available methods)</t>
        </is>
      </c>
      <c r="C36" s="53" t="n">
        <v>194.8702077449816</v>
      </c>
    </row>
    <row r="38" ht="20" customHeight="1">
      <c r="B38" s="24" t="inlineStr">
        <is>
          <t>CHART DATA</t>
        </is>
      </c>
      <c r="C38" s="24" t="n"/>
      <c r="D38" s="24" t="n"/>
      <c r="E38" s="24" t="n"/>
      <c r="F38" s="24" t="n"/>
      <c r="G38" s="24" t="n"/>
      <c r="H38" s="24" t="n"/>
      <c r="I38" s="24" t="n"/>
    </row>
    <row r="39">
      <c r="B39" s="25" t="inlineStr"/>
      <c r="C39" s="26" t="inlineStr">
        <is>
          <t>P/E</t>
        </is>
      </c>
      <c r="D39" s="26" t="inlineStr">
        <is>
          <t>EV/EBITDA</t>
        </is>
      </c>
    </row>
    <row r="40">
      <c r="B40" s="27" t="inlineStr">
        <is>
          <t>Target</t>
        </is>
      </c>
      <c r="C40" s="57" t="n">
        <v>9.907372000000001</v>
      </c>
      <c r="D40" s="57" t="n">
        <v>7.403919702602231</v>
      </c>
    </row>
    <row r="41">
      <c r="B41" s="27" t="inlineStr">
        <is>
          <t>25th Percentile</t>
        </is>
      </c>
      <c r="C41" s="57" t="n">
        <v>9.411765000000001</v>
      </c>
      <c r="D41" s="57" t="n">
        <v>43.76209053129956</v>
      </c>
    </row>
    <row r="42">
      <c r="B42" s="27" t="inlineStr">
        <is>
          <t>Median</t>
        </is>
      </c>
      <c r="C42" s="57" t="n">
        <v>11.147026</v>
      </c>
      <c r="D42" s="57" t="n">
        <v>43.76209053129956</v>
      </c>
    </row>
    <row r="43">
      <c r="B43" s="27" t="inlineStr">
        <is>
          <t>75th Percentile</t>
        </is>
      </c>
      <c r="C43" s="57" t="n">
        <v>12.877033</v>
      </c>
      <c r="D43" s="57" t="n">
        <v>43.76209053129956</v>
      </c>
    </row>
  </sheetData>
  <mergeCells count="3">
    <mergeCell ref="B1:I1"/>
    <mergeCell ref="B2:I2"/>
    <mergeCell ref="B3:I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J2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9" max="9"/>
    <col width="14" customWidth="1" min="10" max="10"/>
  </cols>
  <sheetData>
    <row r="1" ht="30" customHeight="1">
      <c r="B1" s="36" t="inlineStr">
        <is>
          <t>HISTORICAL FINANCIALS</t>
        </is>
      </c>
    </row>
    <row r="2">
      <c r="B2" s="37" t="inlineStr">
        <is>
          <t>PayPal Holdings, Inc. (PYPL)  |  Analysis date 21 Sep 2026</t>
        </is>
      </c>
    </row>
    <row r="3">
      <c r="B3" s="38" t="inlineStr">
        <is>
          <t>Source: Yahoo Finance annual statements (Historical Data). Millions of USD.</t>
        </is>
      </c>
    </row>
    <row r="5">
      <c r="B5" s="25" t="inlineStr">
        <is>
          <t>Metric</t>
        </is>
      </c>
      <c r="C5" s="26" t="inlineStr">
        <is>
          <t>FY2022</t>
        </is>
      </c>
      <c r="D5" s="26" t="inlineStr">
        <is>
          <t>FY2023</t>
        </is>
      </c>
      <c r="E5" s="26" t="inlineStr">
        <is>
          <t>FY2024</t>
        </is>
      </c>
      <c r="F5" s="26" t="inlineStr">
        <is>
          <t>FY2025</t>
        </is>
      </c>
      <c r="I5" s="26" t="inlineStr">
        <is>
          <t>Date</t>
        </is>
      </c>
      <c r="J5" s="26" t="inlineStr">
        <is>
          <t>Close (USD)</t>
        </is>
      </c>
    </row>
    <row r="6">
      <c r="B6" s="42" t="inlineStr">
        <is>
          <t>Revenue</t>
        </is>
      </c>
      <c r="C6" s="43" t="n">
        <v>27518</v>
      </c>
      <c r="D6" s="43" t="n">
        <v>29771</v>
      </c>
      <c r="E6" s="43" t="n">
        <v>31797</v>
      </c>
      <c r="F6" s="43" t="n">
        <v>33172</v>
      </c>
      <c r="I6" s="61" t="inlineStr">
        <is>
          <t>2025-09-19</t>
        </is>
      </c>
      <c r="J6" s="62" t="n">
        <v>67.46761322021484</v>
      </c>
    </row>
    <row r="7">
      <c r="B7" s="27" t="inlineStr">
        <is>
          <t>Revenue Growth</t>
        </is>
      </c>
      <c r="C7" s="40" t="inlineStr">
        <is>
          <t>N/A</t>
        </is>
      </c>
      <c r="D7" s="41" t="n">
        <v>0.08187368268042738</v>
      </c>
      <c r="E7" s="41" t="n">
        <v>0.06805280306338379</v>
      </c>
      <c r="F7" s="41" t="n">
        <v>0.04324307324590371</v>
      </c>
      <c r="I7" s="61" t="inlineStr">
        <is>
          <t>2025-09-22</t>
        </is>
      </c>
      <c r="J7" s="62" t="n">
        <v>66.93356323242188</v>
      </c>
    </row>
    <row r="8">
      <c r="B8" s="27" t="inlineStr">
        <is>
          <t>Gross Profit</t>
        </is>
      </c>
      <c r="C8" s="39" t="n">
        <v>13773</v>
      </c>
      <c r="D8" s="39" t="n">
        <v>13704</v>
      </c>
      <c r="E8" s="39" t="n">
        <v>14658</v>
      </c>
      <c r="F8" s="39" t="n">
        <v>15465</v>
      </c>
      <c r="I8" s="61" t="inlineStr">
        <is>
          <t>2025-09-23</t>
        </is>
      </c>
      <c r="J8" s="62" t="n">
        <v>66.56764221191406</v>
      </c>
    </row>
    <row r="9">
      <c r="B9" s="27" t="inlineStr">
        <is>
          <t>Gross Margin</t>
        </is>
      </c>
      <c r="C9" s="41" t="n">
        <v>0.5005087579039175</v>
      </c>
      <c r="D9" s="41" t="n">
        <v>0.4603137281246851</v>
      </c>
      <c r="E9" s="41" t="n">
        <v>0.4609868855552411</v>
      </c>
      <c r="F9" s="41" t="n">
        <v>0.4662064391655613</v>
      </c>
      <c r="I9" s="61" t="inlineStr">
        <is>
          <t>2025-09-24</t>
        </is>
      </c>
      <c r="J9" s="62" t="n">
        <v>67.111572265625</v>
      </c>
    </row>
    <row r="10">
      <c r="B10" s="42" t="inlineStr">
        <is>
          <t>Operating Income</t>
        </is>
      </c>
      <c r="C10" s="43" t="n">
        <v>4044</v>
      </c>
      <c r="D10" s="43" t="n">
        <v>4944</v>
      </c>
      <c r="E10" s="43" t="n">
        <v>5763</v>
      </c>
      <c r="F10" s="43" t="n">
        <v>6396</v>
      </c>
      <c r="I10" s="61" t="inlineStr">
        <is>
          <t>2025-09-25</t>
        </is>
      </c>
      <c r="J10" s="62" t="n">
        <v>66.00393676757812</v>
      </c>
    </row>
    <row r="11">
      <c r="B11" s="27" t="inlineStr">
        <is>
          <t>Operating Margin</t>
        </is>
      </c>
      <c r="C11" s="41" t="n">
        <v>0.1469583545315793</v>
      </c>
      <c r="D11" s="41" t="n">
        <v>0.1660676497262437</v>
      </c>
      <c r="E11" s="41" t="n">
        <v>0.1812435135390131</v>
      </c>
      <c r="F11" s="41" t="n">
        <v>0.1928132159652719</v>
      </c>
      <c r="I11" s="61" t="inlineStr">
        <is>
          <t>2025-09-26</t>
        </is>
      </c>
      <c r="J11" s="62" t="n">
        <v>66.55776214599609</v>
      </c>
    </row>
    <row r="12">
      <c r="B12" s="42" t="inlineStr">
        <is>
          <t>Net Income</t>
        </is>
      </c>
      <c r="C12" s="43" t="n">
        <v>2419</v>
      </c>
      <c r="D12" s="43" t="n">
        <v>4246</v>
      </c>
      <c r="E12" s="43" t="n">
        <v>4147</v>
      </c>
      <c r="F12" s="43" t="n">
        <v>5233</v>
      </c>
      <c r="I12" s="61" t="inlineStr">
        <is>
          <t>2025-09-29</t>
        </is>
      </c>
      <c r="J12" s="62" t="n">
        <v>68.91150665283203</v>
      </c>
    </row>
    <row r="13">
      <c r="B13" s="27" t="inlineStr">
        <is>
          <t>Net Margin</t>
        </is>
      </c>
      <c r="C13" s="41" t="n">
        <v>0.08790609782687696</v>
      </c>
      <c r="D13" s="41" t="n">
        <v>0.1426220147123039</v>
      </c>
      <c r="E13" s="41" t="n">
        <v>0.1304211089096456</v>
      </c>
      <c r="F13" s="41" t="n">
        <v>0.1577535270710237</v>
      </c>
      <c r="I13" s="61" t="inlineStr">
        <is>
          <t>2025-09-30</t>
        </is>
      </c>
      <c r="J13" s="62" t="n">
        <v>66.32040405273438</v>
      </c>
    </row>
    <row r="14">
      <c r="B14" s="27" t="inlineStr">
        <is>
          <t>EBITDA</t>
        </is>
      </c>
      <c r="C14" s="39" t="n">
        <v>4987</v>
      </c>
      <c r="D14" s="39" t="n">
        <v>6830</v>
      </c>
      <c r="E14" s="39" t="n">
        <v>6743</v>
      </c>
      <c r="F14" s="39" t="n">
        <v>7696</v>
      </c>
      <c r="I14" s="61" t="inlineStr">
        <is>
          <t>2025-10-01</t>
        </is>
      </c>
      <c r="J14" s="62" t="n">
        <v>65.92481994628906</v>
      </c>
    </row>
    <row r="15">
      <c r="B15" s="27" t="inlineStr">
        <is>
          <t>Capital Expenditure</t>
        </is>
      </c>
      <c r="C15" s="39" t="n">
        <v>706</v>
      </c>
      <c r="D15" s="39" t="n">
        <v>623</v>
      </c>
      <c r="E15" s="39" t="n">
        <v>683</v>
      </c>
      <c r="F15" s="39" t="n">
        <v>852</v>
      </c>
      <c r="I15" s="61" t="inlineStr">
        <is>
          <t>2025-10-02</t>
        </is>
      </c>
      <c r="J15" s="62" t="n">
        <v>68.16977691650391</v>
      </c>
    </row>
    <row r="16">
      <c r="B16" s="42" t="inlineStr">
        <is>
          <t>Free Cash Flow</t>
        </is>
      </c>
      <c r="C16" s="43" t="n">
        <v>5107</v>
      </c>
      <c r="D16" s="43" t="n">
        <v>4220</v>
      </c>
      <c r="E16" s="43" t="n">
        <v>6767</v>
      </c>
      <c r="F16" s="43" t="n">
        <v>5564</v>
      </c>
      <c r="I16" s="61" t="inlineStr">
        <is>
          <t>2025-10-03</t>
        </is>
      </c>
      <c r="J16" s="62" t="n">
        <v>68.48625183105469</v>
      </c>
    </row>
    <row r="17">
      <c r="B17" s="27" t="inlineStr">
        <is>
          <t>Total Debt</t>
        </is>
      </c>
      <c r="C17" s="39" t="n">
        <v>10417</v>
      </c>
      <c r="D17" s="39" t="n">
        <v>9676</v>
      </c>
      <c r="E17" s="39" t="n">
        <v>9879</v>
      </c>
      <c r="F17" s="39" t="n">
        <v>9987</v>
      </c>
      <c r="I17" s="61" t="inlineStr">
        <is>
          <t>2025-10-06</t>
        </is>
      </c>
      <c r="J17" s="62" t="n">
        <v>70.50374603271484</v>
      </c>
    </row>
    <row r="18">
      <c r="B18" s="27" t="inlineStr">
        <is>
          <t>Debt / Equity</t>
        </is>
      </c>
      <c r="C18" s="63" t="n">
        <v>0.5138107921475782</v>
      </c>
      <c r="D18" s="63" t="n">
        <v>0.4596456225357465</v>
      </c>
      <c r="E18" s="63" t="n">
        <v>0.4838614879757065</v>
      </c>
      <c r="F18" s="63" t="n">
        <v>0.4930390995260663</v>
      </c>
      <c r="I18" s="61" t="inlineStr">
        <is>
          <t>2025-10-07</t>
        </is>
      </c>
      <c r="J18" s="62" t="n">
        <v>73.78713989257812</v>
      </c>
    </row>
    <row r="19">
      <c r="I19" s="61" t="inlineStr">
        <is>
          <t>2025-10-08</t>
        </is>
      </c>
      <c r="J19" s="62" t="n">
        <v>75.29036712646484</v>
      </c>
    </row>
    <row r="20">
      <c r="I20" s="61" t="inlineStr">
        <is>
          <t>2025-10-09</t>
        </is>
      </c>
      <c r="J20" s="62" t="n">
        <v>74.91455841064453</v>
      </c>
    </row>
    <row r="21">
      <c r="I21" s="61" t="inlineStr">
        <is>
          <t>2025-10-10</t>
        </is>
      </c>
      <c r="J21" s="62" t="n">
        <v>69.06974029541016</v>
      </c>
    </row>
    <row r="22">
      <c r="I22" s="61" t="inlineStr">
        <is>
          <t>2025-10-13</t>
        </is>
      </c>
      <c r="J22" s="62" t="n">
        <v>68.10056304931641</v>
      </c>
    </row>
    <row r="23">
      <c r="I23" s="61" t="inlineStr">
        <is>
          <t>2025-10-14</t>
        </is>
      </c>
      <c r="J23" s="62" t="n">
        <v>68.38735961914062</v>
      </c>
    </row>
    <row r="24">
      <c r="I24" s="61" t="inlineStr">
        <is>
          <t>2025-10-15</t>
        </is>
      </c>
      <c r="J24" s="62" t="n">
        <v>67.23026275634766</v>
      </c>
    </row>
    <row r="25">
      <c r="I25" s="61" t="inlineStr">
        <is>
          <t>2025-10-16</t>
        </is>
      </c>
      <c r="J25" s="62" t="n">
        <v>65.32154083251953</v>
      </c>
    </row>
    <row r="26">
      <c r="I26" s="61" t="inlineStr">
        <is>
          <t>2025-10-17</t>
        </is>
      </c>
      <c r="J26" s="62" t="n">
        <v>66.66654968261719</v>
      </c>
    </row>
    <row r="27">
      <c r="I27" s="61" t="inlineStr">
        <is>
          <t>2025-10-20</t>
        </is>
      </c>
      <c r="J27" s="62" t="n">
        <v>68.43679809570312</v>
      </c>
    </row>
    <row r="28">
      <c r="I28" s="61" t="inlineStr">
        <is>
          <t>2025-10-21</t>
        </is>
      </c>
      <c r="J28" s="62" t="n">
        <v>69.27742767333984</v>
      </c>
    </row>
    <row r="29">
      <c r="I29" s="61" t="inlineStr">
        <is>
          <t>2025-10-22</t>
        </is>
      </c>
      <c r="J29" s="62" t="n">
        <v>67.31926727294922</v>
      </c>
    </row>
    <row r="30">
      <c r="I30" s="61" t="inlineStr">
        <is>
          <t>2025-10-23</t>
        </is>
      </c>
      <c r="J30" s="62" t="n">
        <v>68.89173126220703</v>
      </c>
    </row>
    <row r="31">
      <c r="I31" s="61" t="inlineStr">
        <is>
          <t>2025-10-24</t>
        </is>
      </c>
      <c r="J31" s="62" t="n">
        <v>69.00051116943359</v>
      </c>
    </row>
    <row r="32">
      <c r="I32" s="61" t="inlineStr">
        <is>
          <t>2025-10-27</t>
        </is>
      </c>
      <c r="J32" s="62" t="n">
        <v>69.4752197265625</v>
      </c>
    </row>
    <row r="33">
      <c r="I33" s="61" t="inlineStr">
        <is>
          <t>2025-10-28</t>
        </is>
      </c>
      <c r="J33" s="62" t="n">
        <v>72.21466064453125</v>
      </c>
    </row>
    <row r="34">
      <c r="I34" s="61" t="inlineStr">
        <is>
          <t>2025-10-29</t>
        </is>
      </c>
      <c r="J34" s="62" t="n">
        <v>68.91150665283203</v>
      </c>
    </row>
    <row r="35">
      <c r="I35" s="61" t="inlineStr">
        <is>
          <t>2025-10-30</t>
        </is>
      </c>
      <c r="J35" s="62" t="n">
        <v>67.18080902099609</v>
      </c>
    </row>
    <row r="36">
      <c r="I36" s="61" t="inlineStr">
        <is>
          <t>2025-10-31</t>
        </is>
      </c>
      <c r="J36" s="62" t="n">
        <v>68.50603485107422</v>
      </c>
    </row>
    <row r="37">
      <c r="I37" s="61" t="inlineStr">
        <is>
          <t>2025-11-03</t>
        </is>
      </c>
      <c r="J37" s="62" t="n">
        <v>67.58628082275391</v>
      </c>
    </row>
    <row r="38">
      <c r="I38" s="61" t="inlineStr">
        <is>
          <t>2025-11-04</t>
        </is>
      </c>
      <c r="J38" s="62" t="n">
        <v>65.35121154785156</v>
      </c>
    </row>
    <row r="39">
      <c r="I39" s="61" t="inlineStr">
        <is>
          <t>2025-11-05</t>
        </is>
      </c>
      <c r="J39" s="62" t="n">
        <v>67.30937194824219</v>
      </c>
    </row>
    <row r="40">
      <c r="I40" s="61" t="inlineStr">
        <is>
          <t>2025-11-06</t>
        </is>
      </c>
      <c r="J40" s="62" t="n">
        <v>65.52922058105469</v>
      </c>
    </row>
    <row r="41">
      <c r="I41" s="61" t="inlineStr">
        <is>
          <t>2025-11-07</t>
        </is>
      </c>
      <c r="J41" s="62" t="n">
        <v>65.48966217041016</v>
      </c>
    </row>
    <row r="42">
      <c r="I42" s="61" t="inlineStr">
        <is>
          <t>2025-11-10</t>
        </is>
      </c>
      <c r="J42" s="62" t="n">
        <v>65.51934051513672</v>
      </c>
    </row>
    <row r="43">
      <c r="I43" s="61" t="inlineStr">
        <is>
          <t>2025-11-11</t>
        </is>
      </c>
      <c r="J43" s="62" t="n">
        <v>66.65665435791016</v>
      </c>
    </row>
    <row r="44">
      <c r="I44" s="61" t="inlineStr">
        <is>
          <t>2025-11-12</t>
        </is>
      </c>
      <c r="J44" s="62" t="n">
        <v>66.45885467529297</v>
      </c>
    </row>
    <row r="45">
      <c r="I45" s="61" t="inlineStr">
        <is>
          <t>2025-11-13</t>
        </is>
      </c>
      <c r="J45" s="62" t="n">
        <v>64.60948944091797</v>
      </c>
    </row>
    <row r="46">
      <c r="I46" s="61" t="inlineStr">
        <is>
          <t>2025-11-14</t>
        </is>
      </c>
      <c r="J46" s="62" t="n">
        <v>62.11727905273438</v>
      </c>
    </row>
    <row r="47">
      <c r="I47" s="61" t="inlineStr">
        <is>
          <t>2025-11-17</t>
        </is>
      </c>
      <c r="J47" s="62" t="n">
        <v>61.20742034912109</v>
      </c>
    </row>
    <row r="48">
      <c r="I48" s="61" t="inlineStr">
        <is>
          <t>2025-11-18</t>
        </is>
      </c>
      <c r="J48" s="62" t="n">
        <v>60.03054428100586</v>
      </c>
    </row>
    <row r="49">
      <c r="I49" s="61" t="inlineStr">
        <is>
          <t>2025-11-19</t>
        </is>
      </c>
      <c r="J49" s="62" t="n">
        <v>59.58447647094727</v>
      </c>
    </row>
    <row r="50">
      <c r="I50" s="61" t="inlineStr">
        <is>
          <t>2025-11-20</t>
        </is>
      </c>
      <c r="J50" s="62" t="n">
        <v>57.59700775146484</v>
      </c>
    </row>
    <row r="51">
      <c r="I51" s="61" t="inlineStr">
        <is>
          <t>2025-11-21</t>
        </is>
      </c>
      <c r="J51" s="62" t="n">
        <v>60.04045486450195</v>
      </c>
    </row>
    <row r="52">
      <c r="I52" s="61" t="inlineStr">
        <is>
          <t>2025-11-24</t>
        </is>
      </c>
      <c r="J52" s="62" t="n">
        <v>60.03054428100586</v>
      </c>
    </row>
    <row r="53">
      <c r="I53" s="61" t="inlineStr">
        <is>
          <t>2025-11-25</t>
        </is>
      </c>
      <c r="J53" s="62" t="n">
        <v>60.68477630615234</v>
      </c>
    </row>
    <row r="54">
      <c r="I54" s="61" t="inlineStr">
        <is>
          <t>2025-11-26</t>
        </is>
      </c>
      <c r="J54" s="62" t="n">
        <v>61.28944396972656</v>
      </c>
    </row>
    <row r="55">
      <c r="I55" s="61" t="inlineStr">
        <is>
          <t>2025-11-28</t>
        </is>
      </c>
      <c r="J55" s="62" t="n">
        <v>62.14191818237305</v>
      </c>
    </row>
    <row r="56">
      <c r="I56" s="61" t="inlineStr">
        <is>
          <t>2025-12-01</t>
        </is>
      </c>
      <c r="J56" s="62" t="n">
        <v>62.03288650512695</v>
      </c>
    </row>
    <row r="57">
      <c r="I57" s="61" t="inlineStr">
        <is>
          <t>2025-12-02</t>
        </is>
      </c>
      <c r="J57" s="62" t="n">
        <v>62.3500862121582</v>
      </c>
    </row>
    <row r="58">
      <c r="I58" s="61" t="inlineStr">
        <is>
          <t>2025-12-03</t>
        </is>
      </c>
      <c r="J58" s="62" t="n">
        <v>60.7046012878418</v>
      </c>
    </row>
    <row r="59">
      <c r="I59" s="61" t="inlineStr">
        <is>
          <t>2025-12-04</t>
        </is>
      </c>
      <c r="J59" s="62" t="n">
        <v>61.19031524658203</v>
      </c>
    </row>
    <row r="60">
      <c r="I60" s="61" t="inlineStr">
        <is>
          <t>2025-12-05</t>
        </is>
      </c>
      <c r="J60" s="62" t="n">
        <v>61.73550415039062</v>
      </c>
    </row>
    <row r="61">
      <c r="I61" s="61" t="inlineStr">
        <is>
          <t>2025-12-08</t>
        </is>
      </c>
      <c r="J61" s="62" t="n">
        <v>60.58565139770508</v>
      </c>
    </row>
    <row r="62">
      <c r="I62" s="61" t="inlineStr">
        <is>
          <t>2025-12-09</t>
        </is>
      </c>
      <c r="J62" s="62" t="n">
        <v>60.24861907958984</v>
      </c>
    </row>
    <row r="63">
      <c r="I63" s="61" t="inlineStr">
        <is>
          <t>2025-12-10</t>
        </is>
      </c>
      <c r="J63" s="62" t="n">
        <v>60.62529754638672</v>
      </c>
    </row>
    <row r="64">
      <c r="I64" s="61" t="inlineStr">
        <is>
          <t>2025-12-11</t>
        </is>
      </c>
      <c r="J64" s="62" t="n">
        <v>61.15066528320312</v>
      </c>
    </row>
    <row r="65">
      <c r="I65" s="61" t="inlineStr">
        <is>
          <t>2025-12-12</t>
        </is>
      </c>
      <c r="J65" s="62" t="n">
        <v>61.12092590332031</v>
      </c>
    </row>
    <row r="66">
      <c r="I66" s="61" t="inlineStr">
        <is>
          <t>2025-12-15</t>
        </is>
      </c>
      <c r="J66" s="62" t="n">
        <v>60.20897674560547</v>
      </c>
    </row>
    <row r="67">
      <c r="I67" s="61" t="inlineStr">
        <is>
          <t>2025-12-16</t>
        </is>
      </c>
      <c r="J67" s="62" t="n">
        <v>60.79381561279297</v>
      </c>
    </row>
    <row r="68">
      <c r="I68" s="61" t="inlineStr">
        <is>
          <t>2025-12-17</t>
        </is>
      </c>
      <c r="J68" s="62" t="n">
        <v>59.65386581420898</v>
      </c>
    </row>
    <row r="69">
      <c r="I69" s="61" t="inlineStr">
        <is>
          <t>2025-12-18</t>
        </is>
      </c>
      <c r="J69" s="62" t="n">
        <v>58.92033386230469</v>
      </c>
    </row>
    <row r="70">
      <c r="I70" s="61" t="inlineStr">
        <is>
          <t>2025-12-19</t>
        </is>
      </c>
      <c r="J70" s="62" t="n">
        <v>59.28710174560547</v>
      </c>
    </row>
    <row r="71">
      <c r="I71" s="61" t="inlineStr">
        <is>
          <t>2025-12-22</t>
        </is>
      </c>
      <c r="J71" s="62" t="n">
        <v>59.33666610717773</v>
      </c>
    </row>
    <row r="72">
      <c r="I72" s="61" t="inlineStr">
        <is>
          <t>2025-12-23</t>
        </is>
      </c>
      <c r="J72" s="62" t="n">
        <v>58.89059829711914</v>
      </c>
    </row>
    <row r="73">
      <c r="I73" s="61" t="inlineStr">
        <is>
          <t>2025-12-24</t>
        </is>
      </c>
      <c r="J73" s="62" t="n">
        <v>59.51509094238281</v>
      </c>
    </row>
    <row r="74">
      <c r="I74" s="61" t="inlineStr">
        <is>
          <t>2025-12-26</t>
        </is>
      </c>
      <c r="J74" s="62" t="n">
        <v>59.44570159912109</v>
      </c>
    </row>
    <row r="75">
      <c r="I75" s="61" t="inlineStr">
        <is>
          <t>2025-12-29</t>
        </is>
      </c>
      <c r="J75" s="62" t="n">
        <v>58.96989822387695</v>
      </c>
    </row>
    <row r="76">
      <c r="I76" s="61" t="inlineStr">
        <is>
          <t>2025-12-30</t>
        </is>
      </c>
      <c r="J76" s="62" t="n">
        <v>58.58330535888672</v>
      </c>
    </row>
    <row r="77">
      <c r="I77" s="61" t="inlineStr">
        <is>
          <t>2025-12-31</t>
        </is>
      </c>
      <c r="J77" s="62" t="n">
        <v>57.86960220336914</v>
      </c>
    </row>
    <row r="78">
      <c r="I78" s="61" t="inlineStr">
        <is>
          <t>2026-01-02</t>
        </is>
      </c>
      <c r="J78" s="62" t="n">
        <v>57.63169860839844</v>
      </c>
    </row>
    <row r="79">
      <c r="I79" s="61" t="inlineStr">
        <is>
          <t>2026-01-05</t>
        </is>
      </c>
      <c r="J79" s="62" t="n">
        <v>58.77164840698242</v>
      </c>
    </row>
    <row r="80">
      <c r="I80" s="61" t="inlineStr">
        <is>
          <t>2026-01-06</t>
        </is>
      </c>
      <c r="J80" s="62" t="n">
        <v>59.28710174560547</v>
      </c>
    </row>
    <row r="81">
      <c r="I81" s="61" t="inlineStr">
        <is>
          <t>2026-01-07</t>
        </is>
      </c>
      <c r="J81" s="62" t="n">
        <v>57.99846649169922</v>
      </c>
    </row>
    <row r="82">
      <c r="I82" s="61" t="inlineStr">
        <is>
          <t>2026-01-08</t>
        </is>
      </c>
      <c r="J82" s="62" t="n">
        <v>57.76056671142578</v>
      </c>
    </row>
    <row r="83">
      <c r="I83" s="61" t="inlineStr">
        <is>
          <t>2026-01-09</t>
        </is>
      </c>
      <c r="J83" s="62" t="n">
        <v>57.15589904785156</v>
      </c>
    </row>
    <row r="84">
      <c r="I84" s="61" t="inlineStr">
        <is>
          <t>2026-01-12</t>
        </is>
      </c>
      <c r="J84" s="62" t="n">
        <v>56.78913497924805</v>
      </c>
    </row>
    <row r="85">
      <c r="I85" s="61" t="inlineStr">
        <is>
          <t>2026-01-13</t>
        </is>
      </c>
      <c r="J85" s="62" t="n">
        <v>56.06551742553711</v>
      </c>
    </row>
    <row r="86">
      <c r="I86" s="61" t="inlineStr">
        <is>
          <t>2026-01-14</t>
        </is>
      </c>
      <c r="J86" s="62" t="n">
        <v>57.15589904785156</v>
      </c>
    </row>
    <row r="87">
      <c r="I87" s="61" t="inlineStr">
        <is>
          <t>2026-01-15</t>
        </is>
      </c>
      <c r="J87" s="62" t="n">
        <v>56.24394607543945</v>
      </c>
    </row>
    <row r="88">
      <c r="I88" s="61" t="inlineStr">
        <is>
          <t>2026-01-16</t>
        </is>
      </c>
      <c r="J88" s="62" t="n">
        <v>56.39263153076172</v>
      </c>
    </row>
    <row r="89">
      <c r="I89" s="61" t="inlineStr">
        <is>
          <t>2026-01-20</t>
        </is>
      </c>
      <c r="J89" s="62" t="n">
        <v>54.59845733642578</v>
      </c>
    </row>
    <row r="90">
      <c r="I90" s="61" t="inlineStr">
        <is>
          <t>2026-01-21</t>
        </is>
      </c>
      <c r="J90" s="62" t="n">
        <v>55.40137100219727</v>
      </c>
    </row>
    <row r="91">
      <c r="I91" s="61" t="inlineStr">
        <is>
          <t>2026-01-22</t>
        </is>
      </c>
      <c r="J91" s="62" t="n">
        <v>56.65036010742188</v>
      </c>
    </row>
    <row r="92">
      <c r="I92" s="61" t="inlineStr">
        <is>
          <t>2026-01-23</t>
        </is>
      </c>
      <c r="J92" s="62" t="n">
        <v>56.1249885559082</v>
      </c>
    </row>
    <row r="93">
      <c r="I93" s="61" t="inlineStr">
        <is>
          <t>2026-01-26</t>
        </is>
      </c>
      <c r="J93" s="62" t="n">
        <v>56.10516738891602</v>
      </c>
    </row>
    <row r="94">
      <c r="I94" s="61" t="inlineStr">
        <is>
          <t>2026-01-27</t>
        </is>
      </c>
      <c r="J94" s="62" t="n">
        <v>55.02469253540039</v>
      </c>
    </row>
    <row r="95">
      <c r="I95" s="61" t="inlineStr">
        <is>
          <t>2026-01-28</t>
        </is>
      </c>
      <c r="J95" s="62" t="n">
        <v>53.60719680786133</v>
      </c>
    </row>
    <row r="96">
      <c r="I96" s="61" t="inlineStr">
        <is>
          <t>2026-01-29</t>
        </is>
      </c>
      <c r="J96" s="62" t="n">
        <v>52.64568328857422</v>
      </c>
    </row>
    <row r="97">
      <c r="I97" s="61" t="inlineStr">
        <is>
          <t>2026-01-30</t>
        </is>
      </c>
      <c r="J97" s="62" t="n">
        <v>52.22934722900391</v>
      </c>
    </row>
    <row r="98">
      <c r="I98" s="61" t="inlineStr">
        <is>
          <t>2026-02-02</t>
        </is>
      </c>
      <c r="J98" s="62" t="n">
        <v>51.87249755859375</v>
      </c>
    </row>
    <row r="99">
      <c r="I99" s="61" t="inlineStr">
        <is>
          <t>2026-02-03</t>
        </is>
      </c>
      <c r="J99" s="62" t="n">
        <v>41.33543014526367</v>
      </c>
    </row>
    <row r="100">
      <c r="I100" s="61" t="inlineStr">
        <is>
          <t>2026-02-04</t>
        </is>
      </c>
      <c r="J100" s="62" t="n">
        <v>40.67128753662109</v>
      </c>
    </row>
    <row r="101">
      <c r="I101" s="61" t="inlineStr">
        <is>
          <t>2026-02-05</t>
        </is>
      </c>
      <c r="J101" s="62" t="n">
        <v>39.55117034912109</v>
      </c>
    </row>
    <row r="102">
      <c r="I102" s="61" t="inlineStr">
        <is>
          <t>2026-02-06</t>
        </is>
      </c>
      <c r="J102" s="62" t="n">
        <v>40.06661605834961</v>
      </c>
    </row>
    <row r="103">
      <c r="I103" s="61" t="inlineStr">
        <is>
          <t>2026-02-09</t>
        </is>
      </c>
      <c r="J103" s="62" t="n">
        <v>40.79024124145508</v>
      </c>
    </row>
    <row r="104">
      <c r="I104" s="61" t="inlineStr">
        <is>
          <t>2026-02-10</t>
        </is>
      </c>
      <c r="J104" s="62" t="n">
        <v>41.12726974487305</v>
      </c>
    </row>
    <row r="105">
      <c r="I105" s="61" t="inlineStr">
        <is>
          <t>2026-02-11</t>
        </is>
      </c>
      <c r="J105" s="62" t="n">
        <v>40.10626983642578</v>
      </c>
    </row>
    <row r="106">
      <c r="I106" s="61" t="inlineStr">
        <is>
          <t>2026-02-12</t>
        </is>
      </c>
      <c r="J106" s="62" t="n">
        <v>38.73834228515625</v>
      </c>
    </row>
    <row r="107">
      <c r="I107" s="61" t="inlineStr">
        <is>
          <t>2026-02-13</t>
        </is>
      </c>
      <c r="J107" s="62" t="n">
        <v>39.93775939941406</v>
      </c>
    </row>
    <row r="108">
      <c r="I108" s="61" t="inlineStr">
        <is>
          <t>2026-02-17</t>
        </is>
      </c>
      <c r="J108" s="62" t="n">
        <v>40.45321273803711</v>
      </c>
    </row>
    <row r="109">
      <c r="I109" s="61" t="inlineStr">
        <is>
          <t>2026-02-18</t>
        </is>
      </c>
      <c r="J109" s="62" t="n">
        <v>41.08761596679688</v>
      </c>
    </row>
    <row r="110">
      <c r="I110" s="61" t="inlineStr">
        <is>
          <t>2026-02-19</t>
        </is>
      </c>
      <c r="J110" s="62" t="n">
        <v>41.36516952514648</v>
      </c>
    </row>
    <row r="111">
      <c r="I111" s="61" t="inlineStr">
        <is>
          <t>2026-02-20</t>
        </is>
      </c>
      <c r="J111" s="62" t="n">
        <v>41.28586959838867</v>
      </c>
    </row>
    <row r="112">
      <c r="I112" s="61" t="inlineStr">
        <is>
          <t>2026-02-23</t>
        </is>
      </c>
      <c r="J112" s="62" t="n">
        <v>43.66488647460938</v>
      </c>
    </row>
    <row r="113">
      <c r="I113" s="61" t="inlineStr">
        <is>
          <t>2026-02-24</t>
        </is>
      </c>
      <c r="J113" s="62" t="n">
        <v>46.60892105102539</v>
      </c>
    </row>
    <row r="114">
      <c r="I114" s="61" t="inlineStr">
        <is>
          <t>2026-02-25</t>
        </is>
      </c>
      <c r="J114" s="62" t="n">
        <v>46.90629577636719</v>
      </c>
    </row>
    <row r="115">
      <c r="I115" s="61" t="inlineStr">
        <is>
          <t>2026-02-26</t>
        </is>
      </c>
      <c r="J115" s="62" t="n">
        <v>45.1319465637207</v>
      </c>
    </row>
    <row r="116">
      <c r="I116" s="61" t="inlineStr">
        <is>
          <t>2026-02-27</t>
        </is>
      </c>
      <c r="J116" s="62" t="n">
        <v>45.80599975585938</v>
      </c>
    </row>
    <row r="117">
      <c r="I117" s="61" t="inlineStr">
        <is>
          <t>2026-03-02</t>
        </is>
      </c>
      <c r="J117" s="62" t="n">
        <v>45.23107147216797</v>
      </c>
    </row>
    <row r="118">
      <c r="I118" s="61" t="inlineStr">
        <is>
          <t>2026-03-03</t>
        </is>
      </c>
      <c r="J118" s="62" t="n">
        <v>45.97451400756836</v>
      </c>
    </row>
    <row r="119">
      <c r="I119" s="61" t="inlineStr">
        <is>
          <t>2026-03-04</t>
        </is>
      </c>
      <c r="J119" s="62" t="n">
        <v>46.48158645629883</v>
      </c>
    </row>
    <row r="120">
      <c r="I120" s="61" t="inlineStr">
        <is>
          <t>2026-03-05</t>
        </is>
      </c>
      <c r="J120" s="62" t="n">
        <v>47.36647796630859</v>
      </c>
    </row>
    <row r="121">
      <c r="I121" s="61" t="inlineStr">
        <is>
          <t>2026-03-06</t>
        </is>
      </c>
      <c r="J121" s="62" t="n">
        <v>46.70032501220703</v>
      </c>
    </row>
    <row r="122">
      <c r="I122" s="61" t="inlineStr">
        <is>
          <t>2026-03-09</t>
        </is>
      </c>
      <c r="J122" s="62" t="n">
        <v>45.89497756958008</v>
      </c>
    </row>
    <row r="123">
      <c r="I123" s="61" t="inlineStr">
        <is>
          <t>2026-03-10</t>
        </is>
      </c>
      <c r="J123" s="62" t="n">
        <v>44.76152038574219</v>
      </c>
    </row>
    <row r="124">
      <c r="I124" s="61" t="inlineStr">
        <is>
          <t>2026-03-11</t>
        </is>
      </c>
      <c r="J124" s="62" t="n">
        <v>45.30836486816406</v>
      </c>
    </row>
    <row r="125">
      <c r="I125" s="61" t="inlineStr">
        <is>
          <t>2026-03-12</t>
        </is>
      </c>
      <c r="J125" s="62" t="n">
        <v>44.10531234741211</v>
      </c>
    </row>
    <row r="126">
      <c r="I126" s="61" t="inlineStr">
        <is>
          <t>2026-03-13</t>
        </is>
      </c>
      <c r="J126" s="62" t="n">
        <v>44.6422119140625</v>
      </c>
    </row>
    <row r="127">
      <c r="I127" s="61" t="inlineStr">
        <is>
          <t>2026-03-16</t>
        </is>
      </c>
      <c r="J127" s="62" t="n">
        <v>45.15922164916992</v>
      </c>
    </row>
    <row r="128">
      <c r="I128" s="61" t="inlineStr">
        <is>
          <t>2026-03-17</t>
        </is>
      </c>
      <c r="J128" s="62" t="n">
        <v>45.86514663696289</v>
      </c>
    </row>
    <row r="129">
      <c r="I129" s="61" t="inlineStr">
        <is>
          <t>2026-03-18</t>
        </is>
      </c>
      <c r="J129" s="62" t="n">
        <v>44.33399200439453</v>
      </c>
    </row>
    <row r="130">
      <c r="I130" s="61" t="inlineStr">
        <is>
          <t>2026-03-19</t>
        </is>
      </c>
      <c r="J130" s="62" t="n">
        <v>43.93628311157227</v>
      </c>
    </row>
    <row r="131">
      <c r="I131" s="61" t="inlineStr">
        <is>
          <t>2026-03-20</t>
        </is>
      </c>
      <c r="J131" s="62" t="n">
        <v>43.75731658935547</v>
      </c>
    </row>
    <row r="132">
      <c r="I132" s="61" t="inlineStr">
        <is>
          <t>2026-03-23</t>
        </is>
      </c>
      <c r="J132" s="62" t="n">
        <v>45.22882461547852</v>
      </c>
    </row>
    <row r="133">
      <c r="I133" s="61" t="inlineStr">
        <is>
          <t>2026-03-24</t>
        </is>
      </c>
      <c r="J133" s="62" t="n">
        <v>43.95616912841797</v>
      </c>
    </row>
    <row r="134">
      <c r="I134" s="61" t="inlineStr">
        <is>
          <t>2026-03-25</t>
        </is>
      </c>
      <c r="J134" s="62" t="n">
        <v>44.59249496459961</v>
      </c>
    </row>
    <row r="135">
      <c r="I135" s="61" t="inlineStr">
        <is>
          <t>2026-03-26</t>
        </is>
      </c>
      <c r="J135" s="62" t="n">
        <v>44.94048690795898</v>
      </c>
    </row>
    <row r="136">
      <c r="I136" s="61" t="inlineStr">
        <is>
          <t>2026-03-27</t>
        </is>
      </c>
      <c r="J136" s="62" t="n">
        <v>43.33972930908203</v>
      </c>
    </row>
    <row r="137">
      <c r="I137" s="61" t="inlineStr">
        <is>
          <t>2026-03-30</t>
        </is>
      </c>
      <c r="J137" s="62" t="n">
        <v>44.41352844238281</v>
      </c>
    </row>
    <row r="138">
      <c r="I138" s="61" t="inlineStr">
        <is>
          <t>2026-03-31</t>
        </is>
      </c>
      <c r="J138" s="62" t="n">
        <v>44.97031784057617</v>
      </c>
    </row>
    <row r="139">
      <c r="I139" s="61" t="inlineStr">
        <is>
          <t>2026-04-01</t>
        </is>
      </c>
      <c r="J139" s="62" t="n">
        <v>44.37376022338867</v>
      </c>
    </row>
    <row r="140">
      <c r="I140" s="61" t="inlineStr">
        <is>
          <t>2026-04-02</t>
        </is>
      </c>
      <c r="J140" s="62" t="n">
        <v>45.07968521118164</v>
      </c>
    </row>
    <row r="141">
      <c r="I141" s="61" t="inlineStr">
        <is>
          <t>2026-04-06</t>
        </is>
      </c>
      <c r="J141" s="62" t="n">
        <v>45.21887969970703</v>
      </c>
    </row>
    <row r="142">
      <c r="I142" s="61" t="inlineStr">
        <is>
          <t>2026-04-07</t>
        </is>
      </c>
      <c r="J142" s="62" t="n">
        <v>44.61238098144531</v>
      </c>
    </row>
    <row r="143">
      <c r="I143" s="61" t="inlineStr">
        <is>
          <t>2026-04-08</t>
        </is>
      </c>
      <c r="J143" s="62" t="n">
        <v>45.58675765991211</v>
      </c>
    </row>
    <row r="144">
      <c r="I144" s="61" t="inlineStr">
        <is>
          <t>2026-04-09</t>
        </is>
      </c>
      <c r="J144" s="62" t="n">
        <v>45.71601104736328</v>
      </c>
    </row>
    <row r="145">
      <c r="I145" s="61" t="inlineStr">
        <is>
          <t>2026-04-10</t>
        </is>
      </c>
      <c r="J145" s="62" t="n">
        <v>44.98025894165039</v>
      </c>
    </row>
    <row r="146">
      <c r="I146" s="61" t="inlineStr">
        <is>
          <t>2026-04-13</t>
        </is>
      </c>
      <c r="J146" s="62" t="n">
        <v>47.23722457885742</v>
      </c>
    </row>
    <row r="147">
      <c r="I147" s="61" t="inlineStr">
        <is>
          <t>2026-04-14</t>
        </is>
      </c>
      <c r="J147" s="62" t="n">
        <v>47.69458770751953</v>
      </c>
    </row>
    <row r="148">
      <c r="I148" s="61" t="inlineStr">
        <is>
          <t>2026-04-15</t>
        </is>
      </c>
      <c r="J148" s="62" t="n">
        <v>49.285400390625</v>
      </c>
    </row>
    <row r="149">
      <c r="I149" s="61" t="inlineStr">
        <is>
          <t>2026-04-16</t>
        </is>
      </c>
      <c r="J149" s="62" t="n">
        <v>49.52402114868164</v>
      </c>
    </row>
    <row r="150">
      <c r="I150" s="61" t="inlineStr">
        <is>
          <t>2026-04-17</t>
        </is>
      </c>
      <c r="J150" s="62" t="n">
        <v>50.51828002929688</v>
      </c>
    </row>
    <row r="151">
      <c r="I151" s="61" t="inlineStr">
        <is>
          <t>2026-04-20</t>
        </is>
      </c>
      <c r="J151" s="62" t="n">
        <v>51.16454696655273</v>
      </c>
    </row>
    <row r="152">
      <c r="I152" s="61" t="inlineStr">
        <is>
          <t>2026-04-21</t>
        </is>
      </c>
      <c r="J152" s="62" t="n">
        <v>50.58787536621094</v>
      </c>
    </row>
    <row r="153">
      <c r="I153" s="61" t="inlineStr">
        <is>
          <t>2026-04-22</t>
        </is>
      </c>
      <c r="J153" s="62" t="n">
        <v>50.92592239379883</v>
      </c>
    </row>
    <row r="154">
      <c r="I154" s="61" t="inlineStr">
        <is>
          <t>2026-04-23</t>
        </is>
      </c>
      <c r="J154" s="62" t="n">
        <v>49.46436309814453</v>
      </c>
    </row>
    <row r="155">
      <c r="I155" s="61" t="inlineStr">
        <is>
          <t>2026-04-24</t>
        </is>
      </c>
      <c r="J155" s="62" t="n">
        <v>50.1901741027832</v>
      </c>
    </row>
    <row r="156">
      <c r="I156" s="61" t="inlineStr">
        <is>
          <t>2026-04-27</t>
        </is>
      </c>
      <c r="J156" s="62" t="n">
        <v>49.48424911499023</v>
      </c>
    </row>
    <row r="157">
      <c r="I157" s="61" t="inlineStr">
        <is>
          <t>2026-04-28</t>
        </is>
      </c>
      <c r="J157" s="62" t="n">
        <v>49.35499572753906</v>
      </c>
    </row>
    <row r="158">
      <c r="I158" s="61" t="inlineStr">
        <is>
          <t>2026-04-29</t>
        </is>
      </c>
      <c r="J158" s="62" t="n">
        <v>50.64753341674805</v>
      </c>
    </row>
    <row r="159">
      <c r="I159" s="61" t="inlineStr">
        <is>
          <t>2026-04-30</t>
        </is>
      </c>
      <c r="J159" s="62" t="n">
        <v>49.85212707519531</v>
      </c>
    </row>
    <row r="160">
      <c r="I160" s="61" t="inlineStr">
        <is>
          <t>2026-05-01</t>
        </is>
      </c>
      <c r="J160" s="62" t="n">
        <v>50.1504020690918</v>
      </c>
    </row>
    <row r="161">
      <c r="I161" s="61" t="inlineStr">
        <is>
          <t>2026-05-04</t>
        </is>
      </c>
      <c r="J161" s="62" t="n">
        <v>50.10068893432617</v>
      </c>
    </row>
    <row r="162">
      <c r="I162" s="61" t="inlineStr">
        <is>
          <t>2026-05-05</t>
        </is>
      </c>
      <c r="J162" s="62" t="n">
        <v>46.22307968139648</v>
      </c>
    </row>
    <row r="163">
      <c r="I163" s="61" t="inlineStr">
        <is>
          <t>2026-05-06</t>
        </is>
      </c>
      <c r="J163" s="62" t="n">
        <v>46.00434494018555</v>
      </c>
    </row>
    <row r="164">
      <c r="I164" s="61" t="inlineStr">
        <is>
          <t>2026-05-07</t>
        </is>
      </c>
      <c r="J164" s="62" t="n">
        <v>45.95463180541992</v>
      </c>
    </row>
    <row r="165">
      <c r="I165" s="61" t="inlineStr">
        <is>
          <t>2026-05-08</t>
        </is>
      </c>
      <c r="J165" s="62" t="n">
        <v>45.10951232910156</v>
      </c>
    </row>
    <row r="166">
      <c r="I166" s="61" t="inlineStr">
        <is>
          <t>2026-05-11</t>
        </is>
      </c>
      <c r="J166" s="62" t="n">
        <v>44.81123352050781</v>
      </c>
    </row>
    <row r="167">
      <c r="I167" s="61" t="inlineStr">
        <is>
          <t>2026-05-12</t>
        </is>
      </c>
      <c r="J167" s="62" t="n">
        <v>45.17910766601562</v>
      </c>
    </row>
    <row r="168">
      <c r="I168" s="61" t="inlineStr">
        <is>
          <t>2026-05-13</t>
        </is>
      </c>
      <c r="J168" s="62" t="n">
        <v>44.97031784057617</v>
      </c>
    </row>
    <row r="169">
      <c r="I169" s="61" t="inlineStr">
        <is>
          <t>2026-05-14</t>
        </is>
      </c>
      <c r="J169" s="62" t="n">
        <v>44.78140640258789</v>
      </c>
    </row>
    <row r="170">
      <c r="I170" s="61" t="inlineStr">
        <is>
          <t>2026-05-15</t>
        </is>
      </c>
      <c r="J170" s="62" t="n">
        <v>44.15502548217773</v>
      </c>
    </row>
    <row r="171">
      <c r="I171" s="61" t="inlineStr">
        <is>
          <t>2026-05-18</t>
        </is>
      </c>
      <c r="J171" s="62" t="n">
        <v>44.13016510009766</v>
      </c>
    </row>
    <row r="172">
      <c r="I172" s="61" t="inlineStr">
        <is>
          <t>2026-05-19</t>
        </is>
      </c>
      <c r="J172" s="62" t="n">
        <v>43.57835388183594</v>
      </c>
    </row>
    <row r="173">
      <c r="I173" s="61" t="inlineStr">
        <is>
          <t>2026-05-20</t>
        </is>
      </c>
      <c r="J173" s="62" t="n">
        <v>44.12022399902344</v>
      </c>
    </row>
    <row r="174">
      <c r="I174" s="61" t="inlineStr">
        <is>
          <t>2026-05-21</t>
        </is>
      </c>
      <c r="J174" s="62" t="n">
        <v>44.045654296875</v>
      </c>
    </row>
    <row r="175">
      <c r="I175" s="61" t="inlineStr">
        <is>
          <t>2026-05-22</t>
        </is>
      </c>
      <c r="J175" s="62" t="n">
        <v>43.97605514526367</v>
      </c>
    </row>
    <row r="176">
      <c r="I176" s="61" t="inlineStr">
        <is>
          <t>2026-05-26</t>
        </is>
      </c>
      <c r="J176" s="62" t="n">
        <v>43.90645599365234</v>
      </c>
    </row>
    <row r="177">
      <c r="I177" s="61" t="inlineStr">
        <is>
          <t>2026-05-27</t>
        </is>
      </c>
      <c r="J177" s="62" t="n">
        <v>43.50875473022461</v>
      </c>
    </row>
    <row r="178">
      <c r="I178" s="61" t="inlineStr">
        <is>
          <t>2026-05-28</t>
        </is>
      </c>
      <c r="J178" s="62" t="n">
        <v>44.20473480224609</v>
      </c>
    </row>
    <row r="179">
      <c r="I179" s="61" t="inlineStr">
        <is>
          <t>2026-05-29</t>
        </is>
      </c>
      <c r="J179" s="62" t="n">
        <v>44.49307250976562</v>
      </c>
    </row>
    <row r="180">
      <c r="I180" s="61" t="inlineStr">
        <is>
          <t>2026-06-01</t>
        </is>
      </c>
      <c r="J180" s="62" t="n">
        <v>44.9305419921875</v>
      </c>
    </row>
    <row r="181">
      <c r="I181" s="61" t="inlineStr">
        <is>
          <t>2026-06-02</t>
        </is>
      </c>
      <c r="J181" s="62" t="n">
        <v>44.27433013916016</v>
      </c>
    </row>
    <row r="182">
      <c r="I182" s="61" t="inlineStr">
        <is>
          <t>2026-06-03</t>
        </is>
      </c>
      <c r="J182" s="62" t="n">
        <v>42.3653564453125</v>
      </c>
    </row>
    <row r="183">
      <c r="I183" s="61" t="inlineStr">
        <is>
          <t>2026-06-04</t>
        </is>
      </c>
      <c r="J183" s="62" t="n">
        <v>42.64466857910156</v>
      </c>
    </row>
    <row r="184">
      <c r="I184" s="61" t="inlineStr">
        <is>
          <t>2026-06-05</t>
        </is>
      </c>
      <c r="J184" s="62" t="n">
        <v>41.18826675415039</v>
      </c>
    </row>
    <row r="185">
      <c r="I185" s="61" t="inlineStr">
        <is>
          <t>2026-06-08</t>
        </is>
      </c>
      <c r="J185" s="62" t="n">
        <v>41.1583366394043</v>
      </c>
    </row>
    <row r="186">
      <c r="I186" s="61" t="inlineStr">
        <is>
          <t>2026-06-09</t>
        </is>
      </c>
      <c r="J186" s="62" t="n">
        <v>41.35784530639648</v>
      </c>
    </row>
    <row r="187">
      <c r="I187" s="61" t="inlineStr">
        <is>
          <t>2026-06-10</t>
        </is>
      </c>
      <c r="J187" s="62" t="n">
        <v>40.5997200012207</v>
      </c>
    </row>
    <row r="188">
      <c r="I188" s="61" t="inlineStr">
        <is>
          <t>2026-06-11</t>
        </is>
      </c>
      <c r="J188" s="62" t="n">
        <v>41.13838958740234</v>
      </c>
    </row>
    <row r="189">
      <c r="I189" s="61" t="inlineStr">
        <is>
          <t>2026-06-12</t>
        </is>
      </c>
      <c r="J189" s="62" t="n">
        <v>41.42767333984375</v>
      </c>
    </row>
    <row r="190">
      <c r="I190" s="61" t="inlineStr">
        <is>
          <t>2026-06-15</t>
        </is>
      </c>
      <c r="J190" s="62" t="n">
        <v>42.38530731201172</v>
      </c>
    </row>
    <row r="191">
      <c r="I191" s="61" t="inlineStr">
        <is>
          <t>2026-06-16</t>
        </is>
      </c>
      <c r="J191" s="62" t="n">
        <v>43.54244995117188</v>
      </c>
    </row>
    <row r="192">
      <c r="I192" s="61" t="inlineStr">
        <is>
          <t>2026-06-17</t>
        </is>
      </c>
      <c r="J192" s="62" t="n">
        <v>41.976318359375</v>
      </c>
    </row>
    <row r="193">
      <c r="I193" s="61" t="inlineStr">
        <is>
          <t>2026-06-18</t>
        </is>
      </c>
      <c r="J193" s="62" t="n">
        <v>42.40525817871094</v>
      </c>
    </row>
    <row r="194">
      <c r="I194" s="61" t="inlineStr">
        <is>
          <t>2026-06-22</t>
        </is>
      </c>
      <c r="J194" s="62" t="n">
        <v>42.23567581176758</v>
      </c>
    </row>
    <row r="195">
      <c r="I195" s="61" t="inlineStr">
        <is>
          <t>2026-06-23</t>
        </is>
      </c>
      <c r="J195" s="62" t="n">
        <v>41.59725570678711</v>
      </c>
    </row>
    <row r="196">
      <c r="I196" s="61" t="inlineStr">
        <is>
          <t>2026-06-24</t>
        </is>
      </c>
      <c r="J196" s="62" t="n">
        <v>42.37533187866211</v>
      </c>
    </row>
    <row r="197">
      <c r="I197" s="61" t="inlineStr">
        <is>
          <t>2026-06-25</t>
        </is>
      </c>
      <c r="J197" s="62" t="n">
        <v>42.27557754516602</v>
      </c>
    </row>
    <row r="198">
      <c r="I198" s="61" t="inlineStr">
        <is>
          <t>2026-06-26</t>
        </is>
      </c>
      <c r="J198" s="62" t="n">
        <v>44.18087387084961</v>
      </c>
    </row>
    <row r="199">
      <c r="I199" s="61" t="inlineStr">
        <is>
          <t>2026-06-29</t>
        </is>
      </c>
      <c r="J199" s="62" t="n">
        <v>44.27065277099609</v>
      </c>
    </row>
    <row r="200">
      <c r="I200" s="61" t="inlineStr">
        <is>
          <t>2026-06-30</t>
        </is>
      </c>
      <c r="J200" s="62" t="n">
        <v>43.0736083984375</v>
      </c>
    </row>
    <row r="201">
      <c r="I201" s="61" t="inlineStr">
        <is>
          <t>2026-07-01</t>
        </is>
      </c>
      <c r="J201" s="62" t="n">
        <v>43.9614143371582</v>
      </c>
    </row>
    <row r="202">
      <c r="I202" s="61" t="inlineStr">
        <is>
          <t>2026-07-02</t>
        </is>
      </c>
      <c r="J202" s="62" t="n">
        <v>45.35796737670898</v>
      </c>
    </row>
    <row r="203">
      <c r="I203" s="61" t="inlineStr">
        <is>
          <t>2026-07-06</t>
        </is>
      </c>
      <c r="J203" s="62" t="n">
        <v>44.97890090942383</v>
      </c>
    </row>
    <row r="204">
      <c r="I204" s="61" t="inlineStr">
        <is>
          <t>2026-07-07</t>
        </is>
      </c>
      <c r="J204" s="62" t="n">
        <v>45.53752136230469</v>
      </c>
    </row>
    <row r="205">
      <c r="I205" s="61" t="inlineStr">
        <is>
          <t>2026-07-08</t>
        </is>
      </c>
      <c r="J205" s="62" t="n">
        <v>44.42028045654297</v>
      </c>
    </row>
    <row r="206">
      <c r="I206" s="61" t="inlineStr">
        <is>
          <t>2026-07-09</t>
        </is>
      </c>
      <c r="J206" s="62" t="n">
        <v>45.20833587646484</v>
      </c>
    </row>
    <row r="207">
      <c r="I207" s="61" t="inlineStr">
        <is>
          <t>2026-07-10</t>
        </is>
      </c>
      <c r="J207" s="62" t="n">
        <v>46.20587158203125</v>
      </c>
    </row>
    <row r="208">
      <c r="I208" s="61" t="inlineStr">
        <is>
          <t>2026-07-13</t>
        </is>
      </c>
      <c r="J208" s="62" t="n">
        <v>47.53259658813477</v>
      </c>
    </row>
    <row r="209">
      <c r="I209" s="61" t="inlineStr">
        <is>
          <t>2026-07-14</t>
        </is>
      </c>
      <c r="J209" s="62" t="n">
        <v>47.25328063964844</v>
      </c>
    </row>
    <row r="210">
      <c r="I210" s="61" t="inlineStr">
        <is>
          <t>2026-07-15</t>
        </is>
      </c>
      <c r="J210" s="62" t="n">
        <v>55.38320159912109</v>
      </c>
    </row>
    <row r="211">
      <c r="I211" s="61" t="inlineStr">
        <is>
          <t>2026-07-16</t>
        </is>
      </c>
      <c r="J211" s="62" t="n">
        <v>56.5902214050293</v>
      </c>
    </row>
    <row r="212">
      <c r="I212" s="61" t="inlineStr">
        <is>
          <t>2026-07-17</t>
        </is>
      </c>
      <c r="J212" s="62" t="n">
        <v>56.4206428527832</v>
      </c>
    </row>
    <row r="213">
      <c r="I213" s="61" t="inlineStr">
        <is>
          <t>2026-07-20</t>
        </is>
      </c>
      <c r="J213" s="62" t="n">
        <v>56.68000030517578</v>
      </c>
    </row>
    <row r="214">
      <c r="I214" s="61" t="inlineStr">
        <is>
          <t>2026-07-21</t>
        </is>
      </c>
      <c r="J214" s="62" t="n">
        <v>55.71238708496094</v>
      </c>
    </row>
    <row r="215">
      <c r="I215" s="61" t="inlineStr">
        <is>
          <t>2026-07-22</t>
        </is>
      </c>
      <c r="J215" s="62" t="n">
        <v>55.37322616577148</v>
      </c>
    </row>
    <row r="216">
      <c r="I216" s="61" t="inlineStr">
        <is>
          <t>2026-07-23</t>
        </is>
      </c>
      <c r="J216" s="62" t="n">
        <v>55.86201858520508</v>
      </c>
    </row>
    <row r="217">
      <c r="I217" s="61" t="inlineStr">
        <is>
          <t>2026-07-24</t>
        </is>
      </c>
      <c r="J217" s="62" t="n">
        <v>56.01165008544922</v>
      </c>
    </row>
    <row r="218">
      <c r="I218" s="61" t="inlineStr">
        <is>
          <t>2026-07-27</t>
        </is>
      </c>
      <c r="J218" s="62" t="n">
        <v>55.93184661865234</v>
      </c>
    </row>
    <row r="219">
      <c r="I219" s="61" t="inlineStr">
        <is>
          <t>2026-07-28</t>
        </is>
      </c>
      <c r="J219" s="62" t="n">
        <v>58.17630386352539</v>
      </c>
    </row>
    <row r="220">
      <c r="I220" s="61" t="inlineStr">
        <is>
          <t>2026-07-29</t>
        </is>
      </c>
      <c r="J220" s="62" t="n">
        <v>58.20622634887695</v>
      </c>
    </row>
    <row r="221">
      <c r="I221" s="61" t="inlineStr">
        <is>
          <t>2026-07-30</t>
        </is>
      </c>
      <c r="J221" s="62" t="n">
        <v>57.50795745849609</v>
      </c>
    </row>
    <row r="222">
      <c r="I222" s="61" t="inlineStr">
        <is>
          <t>2026-07-31</t>
        </is>
      </c>
      <c r="J222" s="62" t="n">
        <v>57.06903839111328</v>
      </c>
    </row>
    <row r="223">
      <c r="I223" s="61" t="inlineStr">
        <is>
          <t>2026-08-03</t>
        </is>
      </c>
      <c r="J223" s="62" t="n">
        <v>57.72740936279297</v>
      </c>
    </row>
    <row r="224">
      <c r="I224" s="61" t="inlineStr">
        <is>
          <t>2026-08-04</t>
        </is>
      </c>
      <c r="J224" s="62" t="n">
        <v>58.3957633972168</v>
      </c>
    </row>
    <row r="225">
      <c r="I225" s="61" t="inlineStr">
        <is>
          <t>2026-08-05</t>
        </is>
      </c>
      <c r="J225" s="62" t="n">
        <v>57.78726577758789</v>
      </c>
    </row>
    <row r="226">
      <c r="I226" s="61" t="inlineStr">
        <is>
          <t>2026-08-06</t>
        </is>
      </c>
      <c r="J226" s="62" t="n">
        <v>59.63270568847656</v>
      </c>
    </row>
    <row r="227">
      <c r="I227" s="61" t="inlineStr">
        <is>
          <t>2026-08-07</t>
        </is>
      </c>
      <c r="J227" s="62" t="n">
        <v>58.92445373535156</v>
      </c>
    </row>
    <row r="228">
      <c r="I228" s="61" t="inlineStr">
        <is>
          <t>2026-08-10</t>
        </is>
      </c>
      <c r="J228" s="62" t="n">
        <v>58.92445373535156</v>
      </c>
    </row>
    <row r="229">
      <c r="I229" s="61" t="inlineStr">
        <is>
          <t>2026-08-11</t>
        </is>
      </c>
      <c r="J229" s="62" t="n">
        <v>58.85462951660156</v>
      </c>
    </row>
    <row r="230">
      <c r="I230" s="61" t="inlineStr">
        <is>
          <t>2026-08-12</t>
        </is>
      </c>
      <c r="J230" s="62" t="n">
        <v>59.05413436889648</v>
      </c>
    </row>
    <row r="231">
      <c r="I231" s="61" t="inlineStr">
        <is>
          <t>2026-08-13</t>
        </is>
      </c>
      <c r="J231" s="62" t="n">
        <v>60.44071197509766</v>
      </c>
    </row>
    <row r="232">
      <c r="I232" s="61" t="inlineStr">
        <is>
          <t>2026-08-14</t>
        </is>
      </c>
      <c r="J232" s="62" t="n">
        <v>61.50807189941406</v>
      </c>
    </row>
    <row r="233">
      <c r="I233" s="61" t="inlineStr">
        <is>
          <t>2026-08-17</t>
        </is>
      </c>
      <c r="J233" s="62" t="n">
        <v>60.32100677490234</v>
      </c>
    </row>
    <row r="234">
      <c r="I234" s="61" t="inlineStr">
        <is>
          <t>2026-08-18</t>
        </is>
      </c>
      <c r="J234" s="62" t="n">
        <v>60.28110504150391</v>
      </c>
    </row>
    <row r="235">
      <c r="I235" s="61" t="inlineStr">
        <is>
          <t>2026-08-19</t>
        </is>
      </c>
      <c r="J235" s="62" t="n">
        <v>61.09908294677734</v>
      </c>
    </row>
    <row r="236">
      <c r="I236" s="61" t="inlineStr">
        <is>
          <t>2026-08-20</t>
        </is>
      </c>
      <c r="J236" s="62" t="n">
        <v>62.1464958190918</v>
      </c>
    </row>
    <row r="237">
      <c r="I237" s="61" t="inlineStr">
        <is>
          <t>2026-08-21</t>
        </is>
      </c>
      <c r="J237" s="62" t="n">
        <v>61.39834213256836</v>
      </c>
    </row>
    <row r="238">
      <c r="I238" s="61" t="inlineStr">
        <is>
          <t>2026-08-24</t>
        </is>
      </c>
      <c r="J238" s="62" t="n">
        <v>61.52802658081055</v>
      </c>
    </row>
    <row r="239">
      <c r="I239" s="61" t="inlineStr">
        <is>
          <t>2026-08-25</t>
        </is>
      </c>
      <c r="J239" s="62" t="n">
        <v>62.11656951904297</v>
      </c>
    </row>
    <row r="240">
      <c r="I240" s="61" t="inlineStr">
        <is>
          <t>2026-08-26</t>
        </is>
      </c>
      <c r="J240" s="62" t="n">
        <v>61.65770721435547</v>
      </c>
    </row>
    <row r="241">
      <c r="I241" s="61" t="inlineStr">
        <is>
          <t>2026-08-27</t>
        </is>
      </c>
      <c r="J241" s="62" t="n">
        <v>61.31854248046875</v>
      </c>
    </row>
    <row r="242">
      <c r="I242" s="61" t="inlineStr">
        <is>
          <t>2026-08-28</t>
        </is>
      </c>
      <c r="J242" s="62" t="n">
        <v>53.52778625488281</v>
      </c>
    </row>
    <row r="243">
      <c r="I243" s="61" t="inlineStr">
        <is>
          <t>2026-08-31</t>
        </is>
      </c>
      <c r="J243" s="62" t="n">
        <v>52.53523635864258</v>
      </c>
    </row>
    <row r="244">
      <c r="I244" s="61" t="inlineStr">
        <is>
          <t>2026-09-01</t>
        </is>
      </c>
      <c r="J244" s="62" t="n">
        <v>52.27089309692383</v>
      </c>
    </row>
    <row r="245">
      <c r="I245" s="61" t="inlineStr">
        <is>
          <t>2026-09-02</t>
        </is>
      </c>
      <c r="J245" s="62" t="n">
        <v>54.53529357910156</v>
      </c>
    </row>
    <row r="246">
      <c r="I246" s="61" t="inlineStr">
        <is>
          <t>2026-09-03</t>
        </is>
      </c>
      <c r="J246" s="62" t="n">
        <v>56.68000030517578</v>
      </c>
    </row>
    <row r="247">
      <c r="I247" s="61" t="inlineStr">
        <is>
          <t>2026-09-04</t>
        </is>
      </c>
      <c r="J247" s="62" t="n">
        <v>54.95999908447266</v>
      </c>
    </row>
    <row r="248">
      <c r="I248" s="61" t="inlineStr">
        <is>
          <t>2026-09-08</t>
        </is>
      </c>
      <c r="J248" s="62" t="n">
        <v>53.18000030517578</v>
      </c>
    </row>
    <row r="249">
      <c r="I249" s="61" t="inlineStr">
        <is>
          <t>2026-09-09</t>
        </is>
      </c>
      <c r="J249" s="62" t="n">
        <v>52.16999816894531</v>
      </c>
    </row>
    <row r="250">
      <c r="I250" s="61" t="inlineStr">
        <is>
          <t>2026-09-10</t>
        </is>
      </c>
      <c r="J250" s="62" t="n">
        <v>53.31000137329102</v>
      </c>
    </row>
    <row r="251">
      <c r="I251" s="61" t="inlineStr">
        <is>
          <t>2026-09-11</t>
        </is>
      </c>
      <c r="J251" s="62" t="n">
        <v>53.72000122070312</v>
      </c>
    </row>
    <row r="252">
      <c r="I252" s="61" t="inlineStr">
        <is>
          <t>2026-09-14</t>
        </is>
      </c>
      <c r="J252" s="62" t="n">
        <v>54.02999877929688</v>
      </c>
    </row>
    <row r="253">
      <c r="I253" s="61" t="inlineStr">
        <is>
          <t>2026-09-15</t>
        </is>
      </c>
      <c r="J253" s="62" t="n">
        <v>53.81000137329102</v>
      </c>
    </row>
    <row r="254">
      <c r="I254" s="61" t="inlineStr">
        <is>
          <t>2026-09-16</t>
        </is>
      </c>
      <c r="J254" s="62" t="n">
        <v>52.70999908447266</v>
      </c>
    </row>
    <row r="255">
      <c r="I255" s="61" t="inlineStr">
        <is>
          <t>2026-09-17</t>
        </is>
      </c>
      <c r="J255" s="62" t="n">
        <v>52.93999862670898</v>
      </c>
    </row>
    <row r="256">
      <c r="I256" s="61" t="inlineStr">
        <is>
          <t>2026-09-18</t>
        </is>
      </c>
      <c r="J256" s="62" t="n">
        <v>52.40999984741211</v>
      </c>
    </row>
  </sheetData>
  <mergeCells count="3">
    <mergeCell ref="B2:F2"/>
    <mergeCell ref="B1:F1"/>
    <mergeCell ref="B3:F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B1" s="36" t="inlineStr">
        <is>
          <t>DCF SENSITIVITY ANALYSIS</t>
        </is>
      </c>
    </row>
    <row r="2">
      <c r="B2" s="37" t="inlineStr">
        <is>
          <t>PayPal Holdings, Inc. (PYPL)  |  Analysis date 21 Sep 2026</t>
        </is>
      </c>
    </row>
    <row r="3" ht="26" customHeight="1">
      <c r="B3" s="54" t="inlineStr">
        <is>
          <t>Implied share price for each WACC / terminal growth pair. Revenue growth follows the terminal growth rate, exactly as in the main model. Green = higher value, red = lower.</t>
        </is>
      </c>
    </row>
    <row r="5" ht="20" customHeight="1">
      <c r="B5" s="24" t="inlineStr">
        <is>
          <t>1. Perpetual Growth DCF - Implied Share Price</t>
        </is>
      </c>
      <c r="C5" s="24" t="n"/>
      <c r="D5" s="24" t="n"/>
      <c r="E5" s="24" t="n"/>
      <c r="F5" s="24" t="n"/>
      <c r="G5" s="24" t="n"/>
    </row>
    <row r="6">
      <c r="B6" s="26" t="inlineStr">
        <is>
          <t>WACC \ Growth</t>
        </is>
      </c>
      <c r="C6" s="64" t="n">
        <v>0.02</v>
      </c>
      <c r="D6" s="64" t="n">
        <v>0.025</v>
      </c>
      <c r="E6" s="64" t="n">
        <v>0.03</v>
      </c>
      <c r="F6" s="64" t="n">
        <v>0.035</v>
      </c>
      <c r="G6" s="64" t="n">
        <v>0.04</v>
      </c>
    </row>
    <row r="7">
      <c r="B7" s="64" t="n">
        <v>0.07000000000000001</v>
      </c>
      <c r="C7" s="65" t="n">
        <v>125.3588926287753</v>
      </c>
      <c r="D7" s="65" t="n">
        <v>139.5426563158325</v>
      </c>
      <c r="E7" s="65" t="n">
        <v>157.2723609246541</v>
      </c>
      <c r="F7" s="65" t="n">
        <v>180.0676954217103</v>
      </c>
      <c r="G7" s="65" t="n">
        <v>210.4614747511188</v>
      </c>
    </row>
    <row r="8">
      <c r="B8" s="64" t="n">
        <v>0.08</v>
      </c>
      <c r="C8" s="65" t="n">
        <v>104.5504934960204</v>
      </c>
      <c r="D8" s="65" t="n">
        <v>114.2637184097258</v>
      </c>
      <c r="E8" s="65" t="n">
        <v>125.9195883061724</v>
      </c>
      <c r="F8" s="65" t="n">
        <v>140.1656515129404</v>
      </c>
      <c r="G8" s="65" t="n">
        <v>157.9732305214005</v>
      </c>
    </row>
    <row r="9">
      <c r="B9" s="64" t="n">
        <v>0.09</v>
      </c>
      <c r="C9" s="65" t="n">
        <v>89.6873512583383</v>
      </c>
      <c r="D9" s="65" t="n">
        <v>96.76291524395965</v>
      </c>
      <c r="E9" s="65" t="n">
        <v>105.0177398938513</v>
      </c>
      <c r="F9" s="65" t="n">
        <v>114.7734417528141</v>
      </c>
      <c r="G9" s="65" t="n">
        <v>126.4802839835696</v>
      </c>
    </row>
    <row r="10">
      <c r="B10" s="64" t="n">
        <v>0.1</v>
      </c>
      <c r="C10" s="65" t="n">
        <v>78.53999458007671</v>
      </c>
      <c r="D10" s="65" t="n">
        <v>83.9289929223978</v>
      </c>
      <c r="E10" s="65" t="n">
        <v>90.08784817076479</v>
      </c>
      <c r="F10" s="65" t="n">
        <v>97.19421961118819</v>
      </c>
      <c r="G10" s="65" t="n">
        <v>105.4849862916822</v>
      </c>
    </row>
    <row r="11">
      <c r="B11" s="64" t="n">
        <v>0.11</v>
      </c>
      <c r="C11" s="65" t="n">
        <v>69.86982827476216</v>
      </c>
      <c r="D11" s="65" t="n">
        <v>74.11481702943871</v>
      </c>
      <c r="E11" s="65" t="n">
        <v>78.89042937844991</v>
      </c>
      <c r="F11" s="65" t="n">
        <v>84.30279004066254</v>
      </c>
      <c r="G11" s="65" t="n">
        <v>90.48834508319131</v>
      </c>
    </row>
    <row r="12">
      <c r="B12" s="64" t="n">
        <v>0.12</v>
      </c>
      <c r="C12" s="65" t="n">
        <v>62.93369523051051</v>
      </c>
      <c r="D12" s="65" t="n">
        <v>66.3667834297342</v>
      </c>
      <c r="E12" s="65" t="n">
        <v>70.18132587331611</v>
      </c>
      <c r="F12" s="65" t="n">
        <v>74.4446380161429</v>
      </c>
      <c r="G12" s="65" t="n">
        <v>79.24086417682311</v>
      </c>
    </row>
    <row r="14" ht="20" customHeight="1">
      <c r="B14" s="24" t="inlineStr">
        <is>
          <t>2. Blended DCF (average of Perpetual Growth &amp; Exit Multiple) - Implied Share Price</t>
        </is>
      </c>
      <c r="C14" s="24" t="n"/>
      <c r="D14" s="24" t="n"/>
      <c r="E14" s="24" t="n"/>
      <c r="F14" s="24" t="n"/>
      <c r="G14" s="24" t="n"/>
    </row>
    <row r="15">
      <c r="B15" s="26" t="inlineStr">
        <is>
          <t>WACC \ Growth</t>
        </is>
      </c>
      <c r="C15" s="64" t="n">
        <v>0.02</v>
      </c>
      <c r="D15" s="64" t="n">
        <v>0.025</v>
      </c>
      <c r="E15" s="64" t="n">
        <v>0.03</v>
      </c>
      <c r="F15" s="64" t="n">
        <v>0.035</v>
      </c>
      <c r="G15" s="64" t="n">
        <v>0.04</v>
      </c>
    </row>
    <row r="16">
      <c r="B16" s="64" t="n">
        <v>0.07000000000000001</v>
      </c>
      <c r="C16" s="65" t="n">
        <v>111.9007011064327</v>
      </c>
      <c r="D16" s="65" t="n">
        <v>120.0304893341143</v>
      </c>
      <c r="E16" s="65" t="n">
        <v>129.9524100382532</v>
      </c>
      <c r="F16" s="65" t="n">
        <v>142.4265803629535</v>
      </c>
      <c r="G16" s="65" t="n">
        <v>158.7196830491067</v>
      </c>
    </row>
    <row r="17">
      <c r="B17" s="64" t="n">
        <v>0.08</v>
      </c>
      <c r="C17" s="65" t="n">
        <v>99.5218461064284</v>
      </c>
      <c r="D17" s="65" t="n">
        <v>105.3709293885614</v>
      </c>
      <c r="E17" s="65" t="n">
        <v>112.2096371458992</v>
      </c>
      <c r="F17" s="65" t="n">
        <v>120.3620038649449</v>
      </c>
      <c r="G17" s="65" t="n">
        <v>130.3139536036802</v>
      </c>
    </row>
    <row r="18">
      <c r="B18" s="64" t="n">
        <v>0.09</v>
      </c>
      <c r="C18" s="65" t="n">
        <v>90.2179046852973</v>
      </c>
      <c r="D18" s="65" t="n">
        <v>94.70513604274059</v>
      </c>
      <c r="E18" s="65" t="n">
        <v>99.79948584217055</v>
      </c>
      <c r="F18" s="65" t="n">
        <v>105.6620110055541</v>
      </c>
      <c r="G18" s="65" t="n">
        <v>112.5180941414136</v>
      </c>
    </row>
    <row r="19">
      <c r="B19" s="64" t="n">
        <v>0.1</v>
      </c>
      <c r="C19" s="65" t="n">
        <v>82.86788665744312</v>
      </c>
      <c r="D19" s="65" t="n">
        <v>86.47107846437956</v>
      </c>
      <c r="E19" s="65" t="n">
        <v>90.47591624651109</v>
      </c>
      <c r="F19" s="65" t="n">
        <v>94.97146724679439</v>
      </c>
      <c r="G19" s="65" t="n">
        <v>100.0764108607882</v>
      </c>
    </row>
    <row r="20">
      <c r="B20" s="64" t="n">
        <v>0.11</v>
      </c>
      <c r="C20" s="65" t="n">
        <v>76.84667683222119</v>
      </c>
      <c r="D20" s="65" t="n">
        <v>79.83923298567504</v>
      </c>
      <c r="E20" s="65" t="n">
        <v>83.11308848824962</v>
      </c>
      <c r="F20" s="65" t="n">
        <v>86.7215328347001</v>
      </c>
      <c r="G20" s="65" t="n">
        <v>90.73301836513349</v>
      </c>
    </row>
    <row r="21">
      <c r="B21" s="64" t="n">
        <v>0.12</v>
      </c>
      <c r="C21" s="65" t="n">
        <v>71.77728179406738</v>
      </c>
      <c r="D21" s="65" t="n">
        <v>74.32725349533249</v>
      </c>
      <c r="E21" s="65" t="n">
        <v>77.08324803578668</v>
      </c>
      <c r="F21" s="65" t="n">
        <v>80.07914036270572</v>
      </c>
      <c r="G21" s="65" t="n">
        <v>83.35722193135918</v>
      </c>
    </row>
    <row r="23">
      <c r="B23" s="60" t="inlineStr">
        <is>
          <t>Current share price: $52.41   |   Base case used in model: WACC 9.0%, growth 3.0%</t>
        </is>
      </c>
    </row>
  </sheetData>
  <mergeCells count="3">
    <mergeCell ref="B3:G3"/>
    <mergeCell ref="B2:G2"/>
    <mergeCell ref="B1:G1"/>
  </mergeCells>
  <conditionalFormatting sqref="C7:G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G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2026-09-21T07:02:00Z</dcterms:created>
  <dcterms:modified xmlns:dcterms="http://purl.org/dc/terms/" xmlns:xsi="http://www.w3.org/2001/XMLSchema-instance" xsi:type="dcterms:W3CDTF">2026-09-21T07:02:00Z</dcterms:modified>
</cp:coreProperties>
</file>