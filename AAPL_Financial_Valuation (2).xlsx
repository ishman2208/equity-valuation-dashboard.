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CCA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#,##0.0;(#,##0.0);&quot;-&quot;"/>
    <numFmt numFmtId="166" formatCode="+0.0%;-0.0%;0.0%"/>
    <numFmt numFmtId="167" formatCode="0.0%"/>
    <numFmt numFmtId="168" formatCode="0.0&quot;x&quot;"/>
    <numFmt numFmtId="169" formatCode="0.0000"/>
    <numFmt numFmtId="170" formatCode="0.00&quot;x&quot;"/>
  </numFmts>
  <fonts count="18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20"/>
    </font>
    <font>
      <name val="Calibri"/>
      <b val="1"/>
      <color rgb="001F3864"/>
      <sz val="14"/>
    </font>
    <font>
      <name val="Calibri"/>
      <b val="1"/>
      <color rgb="00595959"/>
      <sz val="10"/>
    </font>
    <font>
      <name val="Calibri"/>
      <b val="1"/>
      <color rgb="00FFFFFF"/>
      <sz val="10"/>
    </font>
    <font>
      <name val="Calibri"/>
      <b val="1"/>
      <color rgb="001F3864"/>
      <sz val="20"/>
    </font>
    <font>
      <name val="Calibri"/>
      <b val="1"/>
      <color rgb="009C0006"/>
      <sz val="28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FF"/>
      <sz val="10"/>
    </font>
    <font>
      <name val="Calibri"/>
      <color rgb="00404040"/>
      <sz val="9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0000FF"/>
      <sz val="10"/>
    </font>
    <font>
      <name val="Calibri"/>
      <i val="1"/>
      <color rgb="00000000"/>
      <sz val="10"/>
    </font>
    <font>
      <name val="Calibri"/>
      <i val="1"/>
      <color rgb="007F7F7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/>
      <bottom style="thin">
        <color rgb="00BFBFBF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0" fillId="0" borderId="4" pivotButton="0" quotePrefix="0" xfId="0"/>
    <xf numFmtId="164" fontId="6" fillId="3" borderId="1" applyAlignment="1" pivotButton="0" quotePrefix="0" xfId="0">
      <alignment horizontal="center" vertical="center"/>
    </xf>
    <xf numFmtId="0" fontId="0" fillId="0" borderId="3" pivotButton="0" quotePrefix="0" xfId="0"/>
    <xf numFmtId="164" fontId="6" fillId="5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9" pivotButton="0" quotePrefix="0" xfId="0"/>
    <xf numFmtId="166" fontId="7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167" fontId="11" fillId="0" borderId="1" applyAlignment="1" pivotButton="0" quotePrefix="0" xfId="0">
      <alignment horizontal="right" vertical="center"/>
    </xf>
    <xf numFmtId="168" fontId="11" fillId="0" borderId="1" applyAlignment="1" pivotButton="0" quotePrefix="0" xfId="0">
      <alignment horizontal="right" vertical="center"/>
    </xf>
    <xf numFmtId="9" fontId="11" fillId="0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5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right" vertical="center"/>
    </xf>
    <xf numFmtId="167" fontId="1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5" fontId="10" fillId="0" borderId="1" applyAlignment="1" pivotButton="0" quotePrefix="0" xfId="0">
      <alignment horizontal="right" vertical="center"/>
    </xf>
    <xf numFmtId="2" fontId="1" fillId="0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left" vertical="center"/>
    </xf>
    <xf numFmtId="167" fontId="10" fillId="7" borderId="1" applyAlignment="1" pivotButton="0" quotePrefix="0" xfId="0">
      <alignment horizontal="right" vertical="center"/>
    </xf>
    <xf numFmtId="167" fontId="15" fillId="3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center" vertical="center"/>
    </xf>
    <xf numFmtId="165" fontId="10" fillId="7" borderId="1" applyAlignment="1" pivotButton="0" quotePrefix="0" xfId="0">
      <alignment horizontal="right" vertical="center"/>
    </xf>
    <xf numFmtId="169" fontId="1" fillId="0" borderId="1" applyAlignment="1" pivotButton="0" quotePrefix="0" xfId="0">
      <alignment horizontal="right" vertical="center"/>
    </xf>
    <xf numFmtId="164" fontId="10" fillId="7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165" fontId="10" fillId="3" borderId="1" applyAlignment="1" pivotButton="0" quotePrefix="0" xfId="0">
      <alignment horizontal="right" vertical="center"/>
    </xf>
    <xf numFmtId="168" fontId="10" fillId="3" borderId="1" applyAlignment="1" pivotButton="0" quotePrefix="0" xfId="0">
      <alignment horizontal="right" vertical="center"/>
    </xf>
    <xf numFmtId="168" fontId="1" fillId="0" borderId="1" applyAlignment="1" pivotButton="0" quotePrefix="0" xfId="0">
      <alignment horizontal="right" vertical="center"/>
    </xf>
    <xf numFmtId="168" fontId="10" fillId="0" borderId="1" applyAlignment="1" pivotButton="0" quotePrefix="0" xfId="0">
      <alignment horizontal="right" vertical="center"/>
    </xf>
    <xf numFmtId="1" fontId="1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right" vertical="center"/>
    </xf>
    <xf numFmtId="170" fontId="1" fillId="0" borderId="1" applyAlignment="1" pivotButton="0" quotePrefix="0" xfId="0">
      <alignment horizontal="right" vertical="center"/>
    </xf>
    <xf numFmtId="167" fontId="10" fillId="3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Price vs Valuation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'Dashboard'!C21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'Dashboard'!$B$22:$B$25</f>
            </numRef>
          </cat>
          <val>
            <numRef>
              <f>'Dashboard'!$C$22:$C$25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EV/EBITDA: Target vs Peers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'CCA'!D39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dPt>
          <cat>
            <numRef>
              <f>'CCA'!$B$40:$B$43</f>
            </numRef>
          </cat>
          <val>
            <numRef>
              <f>'CCA'!$D$40:$D$43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P/E: Target vs Peers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'CCA'!C39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dPt>
          <cat>
            <numRef>
              <f>'CCA'!$B$40:$B$43</f>
            </numRef>
          </cat>
          <val>
            <numRef>
              <f>'CCA'!$C$40:$C$43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(millions 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'Financials'!$C$5:$F$5</f>
            </numRef>
          </cat>
          <val>
            <numRef>
              <f>'Financials'!$C$6:$F$6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Margins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'Financials'!B9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'Financials'!$C$5:$F$5</f>
            </numRef>
          </cat>
          <val>
            <numRef>
              <f>'Financials'!$C$9:$F$9</f>
            </numRef>
          </val>
        </ser>
        <ser>
          <idx val="1"/>
          <order val="1"/>
          <tx>
            <strRef>
              <f>'Financials'!B11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'Financials'!$C$5:$F$5</f>
            </numRef>
          </cat>
          <val>
            <numRef>
              <f>'Financials'!$C$11:$F$11</f>
            </numRef>
          </val>
        </ser>
        <ser>
          <idx val="2"/>
          <order val="2"/>
          <tx>
            <strRef>
              <f>'Financials'!B13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'Financials'!$C$5:$F$5</f>
            </numRef>
          </cat>
          <val>
            <numRef>
              <f>'Financials'!$C$13:$F$13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Price - Last 12 Months (USD)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'Financials'!J5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'Financials'!$I$6:$I$256</f>
            </numRef>
          </cat>
          <val>
            <numRef>
              <f>'Financials'!$J$6:$J$256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3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19</row>
      <rowOff>0</rowOff>
    </from>
    <ext cx="52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44</row>
      <rowOff>0</rowOff>
    </from>
    <ext cx="39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44</row>
      <rowOff>0</rowOff>
    </from>
    <ext cx="39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20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36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I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38" customHeight="1">
      <c r="B1" s="1" t="inlineStr">
        <is>
          <t>COMPANY FINANCIAL VALUATION</t>
        </is>
      </c>
    </row>
    <row r="2" ht="26" customHeight="1">
      <c r="B2" s="2" t="inlineStr">
        <is>
          <t>Apple Inc.  (AAPL)</t>
        </is>
      </c>
    </row>
    <row r="4">
      <c r="B4" s="3" t="inlineStr">
        <is>
          <t>Company</t>
        </is>
      </c>
      <c r="C4" s="4" t="inlineStr">
        <is>
          <t>Apple Inc.</t>
        </is>
      </c>
      <c r="F4" s="3" t="inlineStr">
        <is>
          <t>Analysis Date</t>
        </is>
      </c>
      <c r="G4" s="4" t="inlineStr">
        <is>
          <t>21 Sep 2026</t>
        </is>
      </c>
    </row>
    <row r="5">
      <c r="B5" s="3" t="inlineStr">
        <is>
          <t>Ticker</t>
        </is>
      </c>
      <c r="C5" s="4" t="inlineStr">
        <is>
          <t>AAPL</t>
        </is>
      </c>
      <c r="F5" s="3" t="inlineStr">
        <is>
          <t>Current Share Price</t>
        </is>
      </c>
      <c r="G5" s="5" t="n">
        <v>336.13</v>
      </c>
    </row>
    <row r="6">
      <c r="B6" s="3" t="inlineStr">
        <is>
          <t>Sector</t>
        </is>
      </c>
      <c r="C6" s="4" t="inlineStr">
        <is>
          <t>Technology</t>
        </is>
      </c>
      <c r="F6" s="3" t="inlineStr">
        <is>
          <t>Market Cap (m USD)</t>
        </is>
      </c>
      <c r="G6" s="6" t="n">
        <v>4905541.566464</v>
      </c>
    </row>
    <row r="7">
      <c r="B7" s="3" t="inlineStr">
        <is>
          <t>Industry</t>
        </is>
      </c>
      <c r="C7" s="4" t="inlineStr">
        <is>
          <t>Consumer Electronics</t>
        </is>
      </c>
      <c r="F7" s="3" t="inlineStr">
        <is>
          <t>Enterprise Value (m USD)</t>
        </is>
      </c>
      <c r="G7" s="6" t="n">
        <v>4927486.68928</v>
      </c>
    </row>
    <row r="9">
      <c r="B9" s="7" t="inlineStr">
        <is>
          <t>CURRENT PRICE</t>
        </is>
      </c>
      <c r="C9" s="8" t="n"/>
      <c r="D9" s="7" t="inlineStr">
        <is>
          <t>DCF IMPLIED PRICE</t>
        </is>
      </c>
      <c r="E9" s="8" t="n"/>
      <c r="F9" s="7" t="inlineStr">
        <is>
          <t>CCA IMPLIED PRICE</t>
        </is>
      </c>
      <c r="G9" s="8" t="n"/>
      <c r="H9" s="7" t="inlineStr">
        <is>
          <t>FINAL INTRINSIC PRICE</t>
        </is>
      </c>
      <c r="I9" s="8" t="n"/>
    </row>
    <row r="10" ht="20" customHeight="1">
      <c r="B10" s="9" t="n">
        <v>336.13</v>
      </c>
      <c r="C10" s="10" t="n"/>
      <c r="D10" s="9" t="n">
        <v>118.7912191243733</v>
      </c>
      <c r="E10" s="10" t="n"/>
      <c r="F10" s="9" t="n">
        <v>249.480438298402</v>
      </c>
      <c r="G10" s="10" t="n"/>
      <c r="H10" s="11" t="n">
        <v>171.0669067939848</v>
      </c>
      <c r="I10" s="10" t="n"/>
    </row>
    <row r="11" ht="20" customHeight="1">
      <c r="B11" s="12" t="n"/>
      <c r="C11" s="13" t="n"/>
      <c r="D11" s="12" t="n"/>
      <c r="E11" s="13" t="n"/>
      <c r="F11" s="12" t="n"/>
      <c r="G11" s="13" t="n"/>
      <c r="H11" s="12" t="n"/>
      <c r="I11" s="13" t="n"/>
    </row>
    <row r="13">
      <c r="B13" s="14" t="inlineStr">
        <is>
          <t>UPSIDE / DOWNSIDE</t>
        </is>
      </c>
      <c r="C13" s="15" t="n"/>
      <c r="D13" s="15" t="n"/>
      <c r="E13" s="8" t="n"/>
      <c r="F13" s="14" t="inlineStr">
        <is>
          <t>RECOMMENDATION</t>
        </is>
      </c>
      <c r="G13" s="15" t="n"/>
      <c r="H13" s="15" t="n"/>
      <c r="I13" s="8" t="n"/>
    </row>
    <row r="14">
      <c r="B14" s="16" t="n">
        <v>-0.4910692089549139</v>
      </c>
      <c r="C14" s="17" t="n"/>
      <c r="D14" s="17" t="n"/>
      <c r="E14" s="10" t="n"/>
      <c r="F14" s="18" t="inlineStr">
        <is>
          <t>SELL</t>
        </is>
      </c>
      <c r="G14" s="17" t="n"/>
      <c r="H14" s="17" t="n"/>
      <c r="I14" s="10" t="n"/>
    </row>
    <row r="15">
      <c r="B15" s="19" t="n"/>
      <c r="E15" s="20" t="n"/>
      <c r="F15" s="19" t="n"/>
      <c r="I15" s="20" t="n"/>
    </row>
    <row r="16">
      <c r="B16" s="12" t="n"/>
      <c r="C16" s="21" t="n"/>
      <c r="D16" s="21" t="n"/>
      <c r="E16" s="13" t="n"/>
      <c r="F16" s="12" t="n"/>
      <c r="G16" s="21" t="n"/>
      <c r="H16" s="21" t="n"/>
      <c r="I16" s="13" t="n"/>
    </row>
    <row r="17">
      <c r="B17" s="22" t="inlineStr">
        <is>
          <t>Rule: BUY if upside &gt;= 15%, otherwise SELL.  Upside = Final Intrinsic Price / Current Price - 1.</t>
        </is>
      </c>
    </row>
    <row r="18" ht="26" customHeight="1">
      <c r="B18" s="23" t="inlineStr">
        <is>
          <t>Recommendation is based solely on the model's valuation assumptions and minimum required upside threshold. It is not investment advice.</t>
        </is>
      </c>
    </row>
    <row r="20" ht="20" customHeight="1">
      <c r="B20" s="24" t="inlineStr">
        <is>
          <t>VALUATION COMPARISON</t>
        </is>
      </c>
      <c r="C20" s="24" t="n"/>
      <c r="D20" s="24" t="n"/>
      <c r="E20" s="24" t="n"/>
      <c r="F20" s="24" t="n"/>
      <c r="G20" s="24" t="n"/>
      <c r="H20" s="24" t="n"/>
      <c r="I20" s="24" t="n"/>
    </row>
    <row r="21">
      <c r="B21" s="25" t="inlineStr">
        <is>
          <t>Measure</t>
        </is>
      </c>
      <c r="C21" s="26" t="inlineStr">
        <is>
          <t>Price (USD)</t>
        </is>
      </c>
    </row>
    <row r="22">
      <c r="B22" s="27" t="inlineStr">
        <is>
          <t>Current Price</t>
        </is>
      </c>
      <c r="C22" s="28" t="n">
        <v>336.13</v>
      </c>
    </row>
    <row r="23">
      <c r="B23" s="27" t="inlineStr">
        <is>
          <t>DCF Value</t>
        </is>
      </c>
      <c r="C23" s="28" t="n">
        <v>118.7912191243733</v>
      </c>
    </row>
    <row r="24">
      <c r="B24" s="27" t="inlineStr">
        <is>
          <t>CCA Value</t>
        </is>
      </c>
      <c r="C24" s="28" t="n">
        <v>249.480438298402</v>
      </c>
    </row>
    <row r="25">
      <c r="B25" s="27" t="inlineStr">
        <is>
          <t>Final Intrinsic</t>
        </is>
      </c>
      <c r="C25" s="29" t="n">
        <v>171.0669067939848</v>
      </c>
    </row>
    <row r="27">
      <c r="B27" s="30" t="inlineStr">
        <is>
          <t>KEY ASSUMPTIONS</t>
        </is>
      </c>
      <c r="C27" s="31" t="n"/>
    </row>
    <row r="28">
      <c r="B28" s="27" t="inlineStr">
        <is>
          <t>WACC (used)</t>
        </is>
      </c>
      <c r="C28" s="32" t="n">
        <v>0.09</v>
      </c>
    </row>
    <row r="29">
      <c r="B29" s="27" t="inlineStr">
        <is>
          <t>Terminal Growth</t>
        </is>
      </c>
      <c r="C29" s="32" t="n">
        <v>0.03</v>
      </c>
    </row>
    <row r="30">
      <c r="B30" s="27" t="inlineStr">
        <is>
          <t>Exit Multiple</t>
        </is>
      </c>
      <c r="C30" s="33" t="n">
        <v>11</v>
      </c>
    </row>
    <row r="31">
      <c r="B31" s="27" t="inlineStr">
        <is>
          <t>DCF Weight</t>
        </is>
      </c>
      <c r="C31" s="34" t="n">
        <v>0.6</v>
      </c>
    </row>
    <row r="32">
      <c r="B32" s="27" t="inlineStr">
        <is>
          <t>CCA Weight</t>
        </is>
      </c>
      <c r="C32" s="34" t="n">
        <v>0.4</v>
      </c>
    </row>
    <row r="33">
      <c r="B33" s="27" t="inlineStr">
        <is>
          <t>Perpetual Growth DCF</t>
        </is>
      </c>
      <c r="C33" s="28" t="n">
        <v>127.9226604090625</v>
      </c>
    </row>
    <row r="34">
      <c r="B34" s="27" t="inlineStr">
        <is>
          <t>Exit Multiple DCF</t>
        </is>
      </c>
      <c r="C34" s="28" t="n">
        <v>109.6597778396841</v>
      </c>
    </row>
    <row r="37" ht="20" customHeight="1">
      <c r="B37" s="24" t="inlineStr">
        <is>
          <t>DATA NOTES &amp; ASSUMPTIONS</t>
        </is>
      </c>
      <c r="C37" s="24" t="n"/>
      <c r="D37" s="24" t="n"/>
      <c r="E37" s="24" t="n"/>
      <c r="F37" s="24" t="n"/>
      <c r="G37" s="24" t="n"/>
      <c r="H37" s="24" t="n"/>
      <c r="I37" s="24" t="n"/>
    </row>
    <row r="38" ht="15" customHeight="1">
      <c r="B38" s="35" t="inlineStr">
        <is>
          <t>- Equity risk premium of 5.0% is an assumption (not retrieved from data).</t>
        </is>
      </c>
    </row>
    <row r="39" ht="26" customHeight="1">
      <c r="B39" s="35" t="inlineStr">
        <is>
          <t>- Forecast revenue growth equals the terminal growth rate in every year (per model design); other drivers use 3-yr historical averages.</t>
        </is>
      </c>
    </row>
  </sheetData>
  <mergeCells count="26">
    <mergeCell ref="F13:I13"/>
    <mergeCell ref="G6:I6"/>
    <mergeCell ref="B10:C11"/>
    <mergeCell ref="H9:I9"/>
    <mergeCell ref="B18:I18"/>
    <mergeCell ref="F14:I16"/>
    <mergeCell ref="B39:I39"/>
    <mergeCell ref="G5:I5"/>
    <mergeCell ref="B2:I2"/>
    <mergeCell ref="G4:I4"/>
    <mergeCell ref="D10:E11"/>
    <mergeCell ref="C7:E7"/>
    <mergeCell ref="B1:I1"/>
    <mergeCell ref="B17:I17"/>
    <mergeCell ref="B38:I38"/>
    <mergeCell ref="F10:G11"/>
    <mergeCell ref="H10:I11"/>
    <mergeCell ref="B9:C9"/>
    <mergeCell ref="D9:E9"/>
    <mergeCell ref="F9:G9"/>
    <mergeCell ref="C6:E6"/>
    <mergeCell ref="C5:E5"/>
    <mergeCell ref="B13:E13"/>
    <mergeCell ref="C4:E4"/>
    <mergeCell ref="B14:E16"/>
    <mergeCell ref="G7:I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B1:H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60" customWidth="1" min="8" max="8"/>
  </cols>
  <sheetData>
    <row r="1" ht="30" customHeight="1">
      <c r="B1" s="36" t="inlineStr">
        <is>
          <t>DISCOUNTED CASH FLOW (DCF) VALUATION</t>
        </is>
      </c>
    </row>
    <row r="2">
      <c r="B2" s="37" t="inlineStr">
        <is>
          <t>Apple Inc. (AAPL)  |  Analysis date 21 Sep 2026</t>
        </is>
      </c>
    </row>
    <row r="3">
      <c r="B3" s="38" t="inlineStr">
        <is>
          <t>Millions of USD unless per share.  Blue = assumption / user input.  Every figure is labelled Historical Data, Projected, or Assumption.</t>
        </is>
      </c>
    </row>
    <row r="5" ht="20" customHeight="1">
      <c r="B5" s="24" t="inlineStr">
        <is>
          <t>1. HISTORICAL DATA (from Yahoo Finance)</t>
        </is>
      </c>
      <c r="C5" s="24" t="n"/>
      <c r="D5" s="24" t="n"/>
      <c r="E5" s="24" t="n"/>
      <c r="F5" s="24" t="n"/>
      <c r="G5" s="24" t="n"/>
      <c r="H5" s="24" t="n"/>
    </row>
    <row r="6">
      <c r="B6" s="25" t="inlineStr">
        <is>
          <t>(millions)</t>
        </is>
      </c>
      <c r="C6" s="26" t="inlineStr">
        <is>
          <t>FY2022</t>
        </is>
      </c>
      <c r="D6" s="26" t="inlineStr">
        <is>
          <t>FY2023</t>
        </is>
      </c>
      <c r="E6" s="26" t="inlineStr">
        <is>
          <t>FY2024</t>
        </is>
      </c>
      <c r="F6" s="26" t="inlineStr">
        <is>
          <t>FY2025</t>
        </is>
      </c>
    </row>
    <row r="7">
      <c r="B7" s="27" t="inlineStr">
        <is>
          <t>Revenue</t>
        </is>
      </c>
      <c r="C7" s="39" t="n">
        <v>394328</v>
      </c>
      <c r="D7" s="39" t="n">
        <v>383285</v>
      </c>
      <c r="E7" s="39" t="n">
        <v>391035</v>
      </c>
      <c r="F7" s="39" t="n">
        <v>416161</v>
      </c>
    </row>
    <row r="8">
      <c r="B8" s="27" t="inlineStr">
        <is>
          <t>Revenue Growth</t>
        </is>
      </c>
      <c r="C8" s="40" t="inlineStr">
        <is>
          <t>N/A</t>
        </is>
      </c>
      <c r="D8" s="41" t="n">
        <v>-0.02800460530319937</v>
      </c>
      <c r="E8" s="41" t="n">
        <v>0.02021994077514111</v>
      </c>
      <c r="F8" s="41" t="n">
        <v>0.06425511782832749</v>
      </c>
    </row>
    <row r="9">
      <c r="B9" s="27" t="inlineStr">
        <is>
          <t>EBIT / Operating Income</t>
        </is>
      </c>
      <c r="C9" s="39" t="n">
        <v>119437</v>
      </c>
      <c r="D9" s="39" t="n">
        <v>114301</v>
      </c>
      <c r="E9" s="39" t="n">
        <v>123216</v>
      </c>
      <c r="F9" s="39" t="n">
        <v>133050</v>
      </c>
    </row>
    <row r="10">
      <c r="B10" s="27" t="inlineStr">
        <is>
          <t>EBIT Margin  (EBIT / Revenue)</t>
        </is>
      </c>
      <c r="C10" s="41" t="n">
        <v>0.3028874439552859</v>
      </c>
      <c r="D10" s="41" t="n">
        <v>0.2982141226502472</v>
      </c>
      <c r="E10" s="41" t="n">
        <v>0.3151022287007557</v>
      </c>
      <c r="F10" s="41" t="n">
        <v>0.3197079976259188</v>
      </c>
    </row>
    <row r="11">
      <c r="B11" s="27" t="inlineStr">
        <is>
          <t>Depreciation &amp; Amortisation</t>
        </is>
      </c>
      <c r="C11" s="39" t="n">
        <v>11104</v>
      </c>
      <c r="D11" s="39" t="n">
        <v>11519</v>
      </c>
      <c r="E11" s="39" t="n">
        <v>11445</v>
      </c>
      <c r="F11" s="39" t="n">
        <v>11698</v>
      </c>
    </row>
    <row r="12">
      <c r="B12" s="27" t="inlineStr">
        <is>
          <t>Capital Expenditure</t>
        </is>
      </c>
      <c r="C12" s="39" t="n">
        <v>10708</v>
      </c>
      <c r="D12" s="39" t="n">
        <v>10959</v>
      </c>
      <c r="E12" s="39" t="n">
        <v>9447</v>
      </c>
      <c r="F12" s="39" t="n">
        <v>12715</v>
      </c>
    </row>
    <row r="13">
      <c r="B13" s="27" t="inlineStr">
        <is>
          <t>Net Working Capital (ex cash &amp; ST debt)</t>
        </is>
      </c>
      <c r="C13" s="39" t="n">
        <v>-45771</v>
      </c>
      <c r="D13" s="39" t="n">
        <v>-47490</v>
      </c>
      <c r="E13" s="39" t="n">
        <v>-67697</v>
      </c>
      <c r="F13" s="39" t="n">
        <v>-52042</v>
      </c>
    </row>
    <row r="14">
      <c r="B14" s="27" t="inlineStr">
        <is>
          <t>Cash</t>
        </is>
      </c>
      <c r="C14" s="39" t="n">
        <v>48304</v>
      </c>
      <c r="D14" s="39" t="n">
        <v>61555</v>
      </c>
      <c r="E14" s="39" t="n">
        <v>65171</v>
      </c>
      <c r="F14" s="39" t="n">
        <v>54697</v>
      </c>
    </row>
    <row r="15">
      <c r="B15" s="27" t="inlineStr">
        <is>
          <t>Total Debt</t>
        </is>
      </c>
      <c r="C15" s="39" t="n">
        <v>132480</v>
      </c>
      <c r="D15" s="39" t="n">
        <v>111088</v>
      </c>
      <c r="E15" s="39" t="n">
        <v>106629</v>
      </c>
      <c r="F15" s="39" t="n">
        <v>98657</v>
      </c>
    </row>
    <row r="16">
      <c r="B16" s="27" t="inlineStr">
        <is>
          <t>Shares Outstanding (m)</t>
        </is>
      </c>
      <c r="C16" s="39" t="n">
        <v>15943.425</v>
      </c>
      <c r="D16" s="39" t="n">
        <v>15550.061</v>
      </c>
      <c r="E16" s="39" t="n">
        <v>15116.786</v>
      </c>
      <c r="F16" s="39" t="n">
        <v>14773.26</v>
      </c>
    </row>
    <row r="17">
      <c r="B17" s="42" t="inlineStr">
        <is>
          <t>Net Debt</t>
        </is>
      </c>
      <c r="C17" s="43" t="n">
        <v>84176</v>
      </c>
      <c r="D17" s="43" t="n">
        <v>49533</v>
      </c>
      <c r="E17" s="43" t="n">
        <v>41458</v>
      </c>
      <c r="F17" s="43" t="n">
        <v>43960</v>
      </c>
    </row>
    <row r="19" ht="20" customHeight="1">
      <c r="B19" s="24" t="inlineStr">
        <is>
          <t>2. WACC  (calculated reference)</t>
        </is>
      </c>
      <c r="C19" s="24" t="n"/>
      <c r="D19" s="24" t="n"/>
      <c r="E19" s="24" t="n"/>
      <c r="F19" s="24" t="n"/>
      <c r="G19" s="24" t="n"/>
      <c r="H19" s="24" t="n"/>
    </row>
    <row r="20">
      <c r="B20" s="25" t="inlineStr">
        <is>
          <t>Input</t>
        </is>
      </c>
      <c r="C20" s="26" t="inlineStr">
        <is>
          <t>Value</t>
        </is>
      </c>
      <c r="D20" s="26" t="inlineStr">
        <is>
          <t>Source</t>
        </is>
      </c>
      <c r="E20" s="15" t="n"/>
      <c r="F20" s="15" t="n"/>
      <c r="G20" s="15" t="n"/>
      <c r="H20" s="8" t="n"/>
    </row>
    <row r="21">
      <c r="B21" s="27" t="inlineStr">
        <is>
          <t>Risk-Free Rate</t>
        </is>
      </c>
      <c r="C21" s="41" t="n">
        <v>0.04998000144958496</v>
      </c>
      <c r="D21" s="38" t="inlineStr">
        <is>
          <t>Market data: US 10Y Treasury yield (^TNX)</t>
        </is>
      </c>
    </row>
    <row r="22">
      <c r="B22" s="27" t="inlineStr">
        <is>
          <t>Beta</t>
        </is>
      </c>
      <c r="C22" s="44" t="n">
        <v>1.085</v>
      </c>
      <c r="D22" s="38" t="inlineStr">
        <is>
          <t>Market data: Yahoo Finance beta</t>
        </is>
      </c>
    </row>
    <row r="23">
      <c r="B23" s="27" t="inlineStr">
        <is>
          <t>Equity Risk Premium</t>
        </is>
      </c>
      <c r="C23" s="41" t="n">
        <v>0.05</v>
      </c>
      <c r="D23" s="38" t="inlineStr">
        <is>
          <t>Assumption: equity risk premium</t>
        </is>
      </c>
    </row>
    <row r="24">
      <c r="B24" s="27" t="inlineStr">
        <is>
          <t>Cost of Equity = Rf + Beta x ERP</t>
        </is>
      </c>
      <c r="C24" s="41" t="n">
        <v>0.104230001449585</v>
      </c>
      <c r="D24" s="38" t="inlineStr">
        <is>
          <t>Calculated: Rf + Beta x ERP</t>
        </is>
      </c>
    </row>
    <row r="25">
      <c r="B25" s="27" t="inlineStr">
        <is>
          <t>Pre-Tax Cost of Debt</t>
        </is>
      </c>
      <c r="C25" s="41" t="n">
        <v>0.03986539221748077</v>
      </c>
      <c r="D25" s="38" t="inlineStr">
        <is>
          <t>Historical data: interest expense / total debt</t>
        </is>
      </c>
    </row>
    <row r="26">
      <c r="B26" s="27" t="inlineStr">
        <is>
          <t>Tax Rate</t>
        </is>
      </c>
      <c r="C26" s="41" t="n">
        <v>0.1561000233558604</v>
      </c>
      <c r="D26" s="38" t="inlineStr">
        <is>
          <t>Historical data: latest effective tax rate</t>
        </is>
      </c>
    </row>
    <row r="27">
      <c r="B27" s="27" t="inlineStr">
        <is>
          <t>Market Value of Equity (m USD)</t>
        </is>
      </c>
      <c r="C27" s="39" t="n">
        <v>4905541.566464</v>
      </c>
      <c r="D27" s="38" t="inlineStr">
        <is>
          <t>Market data: market capitalisation</t>
        </is>
      </c>
    </row>
    <row r="28">
      <c r="B28" s="27" t="inlineStr">
        <is>
          <t>Market Value of Debt (m USD)</t>
        </is>
      </c>
      <c r="C28" s="39" t="n">
        <v>98657</v>
      </c>
      <c r="D28" s="38" t="inlineStr">
        <is>
          <t>Historical data: book value of debt used as proxy for market value</t>
        </is>
      </c>
    </row>
    <row r="29">
      <c r="B29" s="27" t="inlineStr">
        <is>
          <t>Equity Weight  E/V</t>
        </is>
      </c>
      <c r="C29" s="41" t="n">
        <v>0.9802851548175652</v>
      </c>
      <c r="D29" s="38" t="inlineStr">
        <is>
          <t>Calculated: E / (D+E)</t>
        </is>
      </c>
    </row>
    <row r="30">
      <c r="B30" s="27" t="inlineStr">
        <is>
          <t>Debt Weight  D/V</t>
        </is>
      </c>
      <c r="C30" s="41" t="n">
        <v>0.01971484518243482</v>
      </c>
      <c r="D30" s="38" t="inlineStr">
        <is>
          <t>Calculated: D / (D+E)</t>
        </is>
      </c>
    </row>
    <row r="31">
      <c r="B31" s="45" t="inlineStr">
        <is>
          <t>Calculated WACC = E/V x Ke + D/V x Kd x (1 - t)</t>
        </is>
      </c>
      <c r="C31" s="46" t="n">
        <v>0.1028383778854163</v>
      </c>
    </row>
    <row r="32">
      <c r="B32" s="25" t="inlineStr">
        <is>
          <t>WACC USED IN DCF (user selection)</t>
        </is>
      </c>
      <c r="C32" s="47" t="n">
        <v>0.09</v>
      </c>
      <c r="D32" s="38" t="inlineStr">
        <is>
          <t>User assumption (default 9.0%, allowed 7%-12%)</t>
        </is>
      </c>
    </row>
    <row r="34" ht="20" customHeight="1">
      <c r="B34" s="24" t="inlineStr">
        <is>
          <t>3. FORECAST ASSUMPTIONS</t>
        </is>
      </c>
      <c r="C34" s="24" t="n"/>
      <c r="D34" s="24" t="n"/>
      <c r="E34" s="24" t="n"/>
      <c r="F34" s="24" t="n"/>
      <c r="G34" s="24" t="n"/>
      <c r="H34" s="24" t="n"/>
    </row>
    <row r="35">
      <c r="B35" s="25" t="inlineStr">
        <is>
          <t>Driver</t>
        </is>
      </c>
      <c r="C35" s="26" t="inlineStr">
        <is>
          <t>Value</t>
        </is>
      </c>
      <c r="D35" s="26" t="inlineStr">
        <is>
          <t>Source</t>
        </is>
      </c>
      <c r="E35" s="15" t="n"/>
      <c r="F35" s="15" t="n"/>
      <c r="G35" s="15" t="n"/>
      <c r="H35" s="8" t="n"/>
    </row>
    <row r="36">
      <c r="B36" s="27" t="inlineStr">
        <is>
          <t>Base-Year Revenue (m)</t>
        </is>
      </c>
      <c r="C36" s="39" t="n">
        <v>416161</v>
      </c>
      <c r="D36" s="38" t="inlineStr">
        <is>
          <t>Historical data: latest annual revenue</t>
        </is>
      </c>
    </row>
    <row r="37">
      <c r="B37" s="27" t="inlineStr">
        <is>
          <t>Revenue Growth (each year)</t>
        </is>
      </c>
      <c r="C37" s="32" t="n">
        <v>0.03</v>
      </c>
      <c r="D37" s="38" t="inlineStr">
        <is>
          <t>User assumption: terminal growth rate applied to all years</t>
        </is>
      </c>
    </row>
    <row r="38">
      <c r="B38" s="27" t="inlineStr">
        <is>
          <t>EBIT Margin</t>
        </is>
      </c>
      <c r="C38" s="41" t="n">
        <v>0.3110081163256406</v>
      </c>
      <c r="D38" s="38" t="inlineStr">
        <is>
          <t>Historical data: 3-yr average EBIT margin</t>
        </is>
      </c>
    </row>
    <row r="39">
      <c r="B39" s="27" t="inlineStr">
        <is>
          <t>D&amp;A % of Revenue</t>
        </is>
      </c>
      <c r="C39" s="41" t="n">
        <v>0.02914371593993894</v>
      </c>
      <c r="D39" s="38" t="inlineStr">
        <is>
          <t>Historical data: 3-yr average D&amp;A % of revenue</t>
        </is>
      </c>
    </row>
    <row r="40">
      <c r="B40" s="27" t="inlineStr">
        <is>
          <t>CapEx % of Revenue</t>
        </is>
      </c>
      <c r="C40" s="41" t="n">
        <v>0.02776811424599673</v>
      </c>
      <c r="D40" s="38" t="inlineStr">
        <is>
          <t>Historical data: 3-yr average CapEx % of revenue</t>
        </is>
      </c>
    </row>
    <row r="41">
      <c r="B41" s="27" t="inlineStr">
        <is>
          <t>NWC % of Revenue</t>
        </is>
      </c>
      <c r="C41" s="41" t="n">
        <v>-0.1250525637914173</v>
      </c>
      <c r="D41" s="38" t="inlineStr">
        <is>
          <t>Historical data: latest NWC % of revenue</t>
        </is>
      </c>
    </row>
    <row r="42">
      <c r="B42" s="27" t="inlineStr">
        <is>
          <t>Tax Rate</t>
        </is>
      </c>
      <c r="C42" s="41" t="n">
        <v>0.1561000233558604</v>
      </c>
      <c r="D42" s="38" t="inlineStr">
        <is>
          <t>Historical data: latest effective tax rate</t>
        </is>
      </c>
    </row>
    <row r="44" ht="20" customHeight="1">
      <c r="B44" s="24" t="inlineStr">
        <is>
          <t>4. FIVE-YEAR FCFF PROJECTION  (all figures Projected)</t>
        </is>
      </c>
      <c r="C44" s="24" t="n"/>
      <c r="D44" s="24" t="n"/>
      <c r="E44" s="24" t="n"/>
      <c r="F44" s="24" t="n"/>
      <c r="G44" s="24" t="n"/>
      <c r="H44" s="24" t="n"/>
    </row>
    <row r="45">
      <c r="B45" s="25" t="inlineStr">
        <is>
          <t>(millions)</t>
        </is>
      </c>
      <c r="C45" s="26" t="inlineStr">
        <is>
          <t>Year 1</t>
        </is>
      </c>
      <c r="D45" s="26" t="inlineStr">
        <is>
          <t>Year 2</t>
        </is>
      </c>
      <c r="E45" s="26" t="inlineStr">
        <is>
          <t>Year 3</t>
        </is>
      </c>
      <c r="F45" s="26" t="inlineStr">
        <is>
          <t>Year 4</t>
        </is>
      </c>
      <c r="G45" s="26" t="inlineStr">
        <is>
          <t>Year 5</t>
        </is>
      </c>
    </row>
    <row r="46">
      <c r="B46" s="48" t="inlineStr">
        <is>
          <t>Status</t>
        </is>
      </c>
      <c r="C46" s="49" t="inlineStr">
        <is>
          <t>Projected</t>
        </is>
      </c>
      <c r="D46" s="49" t="inlineStr">
        <is>
          <t>Projected</t>
        </is>
      </c>
      <c r="E46" s="49" t="inlineStr">
        <is>
          <t>Projected</t>
        </is>
      </c>
      <c r="F46" s="49" t="inlineStr">
        <is>
          <t>Projected</t>
        </is>
      </c>
      <c r="G46" s="49" t="inlineStr">
        <is>
          <t>Projected</t>
        </is>
      </c>
    </row>
    <row r="47">
      <c r="B47" s="42" t="inlineStr">
        <is>
          <t>Revenue</t>
        </is>
      </c>
      <c r="C47" s="43" t="n">
        <v>428645.83</v>
      </c>
      <c r="D47" s="43" t="n">
        <v>441505.2049</v>
      </c>
      <c r="E47" s="43" t="n">
        <v>454750.361047</v>
      </c>
      <c r="F47" s="43" t="n">
        <v>468392.87187841</v>
      </c>
      <c r="G47" s="43" t="n">
        <v>482444.6580347623</v>
      </c>
    </row>
    <row r="48">
      <c r="B48" s="27" t="inlineStr">
        <is>
          <t>Revenue Growth</t>
        </is>
      </c>
      <c r="C48" s="41" t="n">
        <v>0.03</v>
      </c>
      <c r="D48" s="41" t="n">
        <v>0.03</v>
      </c>
      <c r="E48" s="41" t="n">
        <v>0.03</v>
      </c>
      <c r="F48" s="41" t="n">
        <v>0.03</v>
      </c>
      <c r="G48" s="41" t="n">
        <v>0.03</v>
      </c>
    </row>
    <row r="49">
      <c r="B49" s="27" t="inlineStr">
        <is>
          <t>EBIT</t>
        </is>
      </c>
      <c r="C49" s="39" t="n">
        <v>133312.3321591408</v>
      </c>
      <c r="D49" s="39" t="n">
        <v>137311.702123915</v>
      </c>
      <c r="E49" s="39" t="n">
        <v>141431.0531876324</v>
      </c>
      <c r="F49" s="39" t="n">
        <v>145673.9847832614</v>
      </c>
      <c r="G49" s="39" t="n">
        <v>150044.2043267592</v>
      </c>
    </row>
    <row r="50">
      <c r="B50" s="27" t="inlineStr">
        <is>
          <t>EBIT Margin</t>
        </is>
      </c>
      <c r="C50" s="41" t="n">
        <v>0.3110081163256406</v>
      </c>
      <c r="D50" s="41" t="n">
        <v>0.3110081163256406</v>
      </c>
      <c r="E50" s="41" t="n">
        <v>0.3110081163256406</v>
      </c>
      <c r="F50" s="41" t="n">
        <v>0.3110081163256406</v>
      </c>
      <c r="G50" s="41" t="n">
        <v>0.3110081163256406</v>
      </c>
    </row>
    <row r="51">
      <c r="B51" s="27" t="inlineStr">
        <is>
          <t>Less: Taxes on EBIT</t>
        </is>
      </c>
      <c r="C51" s="39" t="n">
        <v>20810.0581636661</v>
      </c>
      <c r="D51" s="39" t="n">
        <v>21434.35990857608</v>
      </c>
      <c r="E51" s="39" t="n">
        <v>22077.39070583336</v>
      </c>
      <c r="F51" s="39" t="n">
        <v>22739.71242700836</v>
      </c>
      <c r="G51" s="39" t="n">
        <v>23421.90379981861</v>
      </c>
    </row>
    <row r="52">
      <c r="B52" s="42" t="inlineStr">
        <is>
          <t>NOPAT = EBIT x (1 - t)</t>
        </is>
      </c>
      <c r="C52" s="43" t="n">
        <v>112502.2739954747</v>
      </c>
      <c r="D52" s="43" t="n">
        <v>115877.3422153389</v>
      </c>
      <c r="E52" s="43" t="n">
        <v>119353.6624817991</v>
      </c>
      <c r="F52" s="43" t="n">
        <v>122934.272356253</v>
      </c>
      <c r="G52" s="43" t="n">
        <v>126622.3005269406</v>
      </c>
    </row>
    <row r="53">
      <c r="B53" s="27" t="inlineStr">
        <is>
          <t>Plus: D&amp;A</t>
        </is>
      </c>
      <c r="C53" s="39" t="n">
        <v>12492.33230835936</v>
      </c>
      <c r="D53" s="39" t="n">
        <v>12867.10227761014</v>
      </c>
      <c r="E53" s="39" t="n">
        <v>13253.11534593844</v>
      </c>
      <c r="F53" s="39" t="n">
        <v>13650.7088063166</v>
      </c>
      <c r="G53" s="39" t="n">
        <v>14060.2300705061</v>
      </c>
    </row>
    <row r="54">
      <c r="B54" s="27" t="inlineStr">
        <is>
          <t>Less: Capital Expenditure</t>
        </is>
      </c>
      <c r="C54" s="39" t="n">
        <v>11902.68637851009</v>
      </c>
      <c r="D54" s="39" t="n">
        <v>12259.7669698654</v>
      </c>
      <c r="E54" s="39" t="n">
        <v>12627.55997896136</v>
      </c>
      <c r="F54" s="39" t="n">
        <v>13006.3867783302</v>
      </c>
      <c r="G54" s="39" t="n">
        <v>13396.57838168011</v>
      </c>
    </row>
    <row r="55">
      <c r="B55" s="27" t="inlineStr">
        <is>
          <t>Less: Change in NWC</t>
        </is>
      </c>
      <c r="C55" s="39" t="n">
        <v>-1561.26</v>
      </c>
      <c r="D55" s="39" t="n">
        <v>-1608.0978</v>
      </c>
      <c r="E55" s="39" t="n">
        <v>-1656.340734</v>
      </c>
      <c r="F55" s="39" t="n">
        <v>-1706.030956020004</v>
      </c>
      <c r="G55" s="39" t="n">
        <v>-1757.2118847006</v>
      </c>
    </row>
    <row r="56">
      <c r="B56" s="45" t="inlineStr">
        <is>
          <t>FCFF = NOPAT + D&amp;A - CapEx - dNWC</t>
        </is>
      </c>
      <c r="C56" s="50" t="n">
        <v>114653.1799253239</v>
      </c>
      <c r="D56" s="50" t="n">
        <v>118092.7753230836</v>
      </c>
      <c r="E56" s="50" t="n">
        <v>121635.5585827761</v>
      </c>
      <c r="F56" s="50" t="n">
        <v>125284.6253402594</v>
      </c>
      <c r="G56" s="50" t="n">
        <v>129043.1641004672</v>
      </c>
    </row>
    <row r="57">
      <c r="B57" s="27" t="inlineStr">
        <is>
          <t>Memo: EBITDA (EBIT + D&amp;A)</t>
        </is>
      </c>
      <c r="C57" s="39" t="n">
        <v>145804.6644675001</v>
      </c>
      <c r="D57" s="39" t="n">
        <v>150178.8044015251</v>
      </c>
      <c r="E57" s="39" t="n">
        <v>154684.1685335709</v>
      </c>
      <c r="F57" s="39" t="n">
        <v>159324.693589578</v>
      </c>
      <c r="G57" s="39" t="n">
        <v>164104.4343972653</v>
      </c>
    </row>
    <row r="58">
      <c r="B58" s="27" t="inlineStr">
        <is>
          <t>Discount Factor  1/(1+WACC)^t</t>
        </is>
      </c>
      <c r="C58" s="51" t="n">
        <v>0.9174311926605504</v>
      </c>
      <c r="D58" s="51" t="n">
        <v>0.84167999326656</v>
      </c>
      <c r="E58" s="51" t="n">
        <v>0.7721834800610642</v>
      </c>
      <c r="F58" s="51" t="n">
        <v>0.7084252110651963</v>
      </c>
      <c r="G58" s="51" t="n">
        <v>0.6499313862983452</v>
      </c>
    </row>
    <row r="59">
      <c r="B59" s="42" t="inlineStr">
        <is>
          <t>PV of FCFF</t>
        </is>
      </c>
      <c r="C59" s="43" t="n">
        <v>105186.4036012146</v>
      </c>
      <c r="D59" s="43" t="n">
        <v>99396.3263387624</v>
      </c>
      <c r="E59" s="43" t="n">
        <v>93924.96892561953</v>
      </c>
      <c r="F59" s="43" t="n">
        <v>88754.78714989734</v>
      </c>
      <c r="G59" s="43" t="n">
        <v>83869.20253614153</v>
      </c>
    </row>
    <row r="61" ht="20" customHeight="1">
      <c r="B61" s="24" t="inlineStr">
        <is>
          <t>5. DCF VALUATION - TWO TERMINAL VALUE METHODS</t>
        </is>
      </c>
      <c r="C61" s="24" t="n"/>
      <c r="D61" s="24" t="n"/>
      <c r="E61" s="24" t="n"/>
      <c r="F61" s="24" t="n"/>
      <c r="G61" s="24" t="n"/>
      <c r="H61" s="24" t="n"/>
    </row>
    <row r="62">
      <c r="B62" s="25" t="inlineStr">
        <is>
          <t>(millions)</t>
        </is>
      </c>
      <c r="C62" s="26" t="inlineStr">
        <is>
          <t>Perpetual Growth</t>
        </is>
      </c>
      <c r="D62" s="26" t="inlineStr">
        <is>
          <t>Exit Multiple</t>
        </is>
      </c>
    </row>
    <row r="63">
      <c r="B63" s="27" t="inlineStr">
        <is>
          <t>Terminal assumption</t>
        </is>
      </c>
      <c r="C63" s="40" t="inlineStr">
        <is>
          <t>g = 3.0%</t>
        </is>
      </c>
      <c r="D63" s="40" t="inlineStr">
        <is>
          <t>11.0x EBITDA</t>
        </is>
      </c>
    </row>
    <row r="64">
      <c r="B64" s="27" t="inlineStr">
        <is>
          <t>Sum of PV of Forecast FCFF</t>
        </is>
      </c>
      <c r="C64" s="39" t="n">
        <v>471131.6885516354</v>
      </c>
      <c r="D64" s="39" t="n">
        <v>471131.6885516354</v>
      </c>
    </row>
    <row r="65">
      <c r="B65" s="27" t="inlineStr">
        <is>
          <t>Terminal Value (undiscounted)</t>
        </is>
      </c>
      <c r="C65" s="39" t="n">
        <v>2215240.983724688</v>
      </c>
      <c r="D65" s="39" t="n">
        <v>1805148.778369919</v>
      </c>
    </row>
    <row r="66">
      <c r="B66" s="27" t="inlineStr">
        <is>
          <t>PV of Terminal Value</t>
        </is>
      </c>
      <c r="C66" s="39" t="n">
        <v>1439754.643537096</v>
      </c>
      <c r="D66" s="39" t="n">
        <v>1173222.848000726</v>
      </c>
    </row>
    <row r="67">
      <c r="B67" s="42" t="inlineStr">
        <is>
          <t>Enterprise Value</t>
        </is>
      </c>
      <c r="C67" s="43" t="n">
        <v>1910886.332088731</v>
      </c>
      <c r="D67" s="43" t="n">
        <v>1644354.536552361</v>
      </c>
    </row>
    <row r="68">
      <c r="B68" s="27" t="inlineStr">
        <is>
          <t>Less: Net Debt</t>
        </is>
      </c>
      <c r="C68" s="39" t="n">
        <v>43960</v>
      </c>
      <c r="D68" s="39" t="n">
        <v>43960</v>
      </c>
    </row>
    <row r="69">
      <c r="B69" s="42" t="inlineStr">
        <is>
          <t>Equity Value</t>
        </is>
      </c>
      <c r="C69" s="43" t="n">
        <v>1866926.332088731</v>
      </c>
      <c r="D69" s="43" t="n">
        <v>1600394.536552361</v>
      </c>
    </row>
    <row r="70">
      <c r="B70" s="27" t="inlineStr">
        <is>
          <t>Shares Outstanding (m)</t>
        </is>
      </c>
      <c r="C70" s="39" t="n">
        <v>14594.18</v>
      </c>
      <c r="D70" s="39" t="n">
        <v>14594.18</v>
      </c>
      <c r="H70" s="38" t="inlineStr">
        <is>
          <t>TV(perpetual) = FCFF5 x (1+g) / (WACC - g);  TV(exit) = EBITDA5 x multiple</t>
        </is>
      </c>
    </row>
    <row r="71">
      <c r="B71" s="45" t="inlineStr">
        <is>
          <t>Implied Share Price</t>
        </is>
      </c>
      <c r="C71" s="52" t="n">
        <v>127.9226604090625</v>
      </c>
      <c r="D71" s="52" t="n">
        <v>109.6597778396841</v>
      </c>
    </row>
    <row r="72">
      <c r="B72" s="27" t="inlineStr">
        <is>
          <t>Terminal Value as % of EV</t>
        </is>
      </c>
      <c r="C72" s="41" t="n">
        <v>0.7534486062095302</v>
      </c>
      <c r="D72" s="41" t="n">
        <v>0.7134853353830649</v>
      </c>
    </row>
    <row r="74">
      <c r="B74" s="25" t="inlineStr">
        <is>
          <t>DCF IMPLIED PRICE (average of the two methods)</t>
        </is>
      </c>
      <c r="C74" s="53" t="n">
        <v>118.7912191243733</v>
      </c>
    </row>
  </sheetData>
  <mergeCells count="5">
    <mergeCell ref="D35:H35"/>
    <mergeCell ref="D20:H20"/>
    <mergeCell ref="B1:H1"/>
    <mergeCell ref="B2:H2"/>
    <mergeCell ref="B3:H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B1:I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4" customWidth="1" min="9" max="9"/>
  </cols>
  <sheetData>
    <row r="1" ht="30" customHeight="1">
      <c r="B1" s="36" t="inlineStr">
        <is>
          <t>COMPARABLE COMPANY ANALYSIS (CCA)</t>
        </is>
      </c>
    </row>
    <row r="2">
      <c r="B2" s="37" t="inlineStr">
        <is>
          <t>Apple Inc. (AAPL)  |  Analysis date 21 Sep 2026</t>
        </is>
      </c>
    </row>
    <row r="3" ht="26" customHeight="1">
      <c r="B3" s="54" t="inlineStr">
        <is>
          <t>Peers from Yahoo Finance industry/sector lists (or user-supplied). Market data, millions in each company's own reporting/trading currency. Multiples that are negative, undefined or extreme (P/E &gt; 100x, EV/EBITDA &gt; 50x) are shown as N/A and excluded from the statistics.</t>
        </is>
      </c>
    </row>
    <row r="5" ht="20" customHeight="1">
      <c r="B5" s="24" t="inlineStr">
        <is>
          <t>PEER GROUP</t>
        </is>
      </c>
      <c r="C5" s="24" t="n"/>
      <c r="D5" s="24" t="n"/>
      <c r="E5" s="24" t="n"/>
      <c r="F5" s="24" t="n"/>
      <c r="G5" s="24" t="n"/>
      <c r="H5" s="24" t="n"/>
      <c r="I5" s="24" t="n"/>
    </row>
    <row r="6">
      <c r="B6" s="25" t="inlineStr">
        <is>
          <t>Company</t>
        </is>
      </c>
      <c r="C6" s="26" t="inlineStr">
        <is>
          <t>Ticker</t>
        </is>
      </c>
      <c r="D6" s="26" t="inlineStr">
        <is>
          <t>Market Cap (m)</t>
        </is>
      </c>
      <c r="E6" s="26" t="inlineStr">
        <is>
          <t>Enterprise Value (m)</t>
        </is>
      </c>
      <c r="F6" s="26" t="inlineStr">
        <is>
          <t>Revenue (m)</t>
        </is>
      </c>
      <c r="G6" s="26" t="inlineStr">
        <is>
          <t>EBITDA (m)</t>
        </is>
      </c>
      <c r="H6" s="26" t="inlineStr">
        <is>
          <t>P/E</t>
        </is>
      </c>
      <c r="I6" s="26" t="inlineStr">
        <is>
          <t>EV/EBITDA</t>
        </is>
      </c>
    </row>
    <row r="7">
      <c r="B7" s="25" t="inlineStr">
        <is>
          <t>Apple Inc. (Target)</t>
        </is>
      </c>
      <c r="C7" s="25" t="inlineStr">
        <is>
          <t>AAPL</t>
        </is>
      </c>
      <c r="D7" s="55" t="n">
        <v>4905541.566464</v>
      </c>
      <c r="E7" s="55" t="n">
        <v>4927486.68928</v>
      </c>
      <c r="F7" s="55" t="n">
        <v>416161</v>
      </c>
      <c r="G7" s="55" t="n">
        <v>167959.003136</v>
      </c>
      <c r="H7" s="56" t="n">
        <v>38.591274</v>
      </c>
      <c r="I7" s="56" t="n">
        <v>29.33743709642113</v>
      </c>
    </row>
    <row r="8">
      <c r="B8" s="27" t="inlineStr">
        <is>
          <t>NVIDIA Corporation</t>
        </is>
      </c>
      <c r="C8" s="27" t="inlineStr">
        <is>
          <t>NVDA</t>
        </is>
      </c>
      <c r="D8" s="39" t="n">
        <v>5367153.557504</v>
      </c>
      <c r="E8" s="39" t="n">
        <v>5333097.906176</v>
      </c>
      <c r="F8" s="39" t="n">
        <v>302970.011648</v>
      </c>
      <c r="G8" s="39" t="n">
        <v>201266.003968</v>
      </c>
      <c r="H8" s="57" t="n">
        <v>28.099874</v>
      </c>
      <c r="I8" s="57" t="n">
        <v>26.49775819578516</v>
      </c>
    </row>
    <row r="9">
      <c r="B9" s="27" t="inlineStr">
        <is>
          <t>Microsoft Corporation</t>
        </is>
      </c>
      <c r="C9" s="27" t="inlineStr">
        <is>
          <t>MSFT</t>
        </is>
      </c>
      <c r="D9" s="39" t="n">
        <v>3666585.84576</v>
      </c>
      <c r="E9" s="39" t="n">
        <v>3718555.89376</v>
      </c>
      <c r="F9" s="39" t="n">
        <v>331839.012864</v>
      </c>
      <c r="G9" s="39" t="n">
        <v>194237.005824</v>
      </c>
      <c r="H9" s="57" t="n">
        <v>27.47802</v>
      </c>
      <c r="I9" s="57" t="n">
        <v>19.14442553304914</v>
      </c>
    </row>
    <row r="10">
      <c r="B10" s="27" t="inlineStr">
        <is>
          <t>Broadcom Inc.</t>
        </is>
      </c>
      <c r="C10" s="27" t="inlineStr">
        <is>
          <t>AVGO</t>
        </is>
      </c>
      <c r="D10" s="39" t="n">
        <v>1707097.718784</v>
      </c>
      <c r="E10" s="39" t="n">
        <v>1742541.815808</v>
      </c>
      <c r="F10" s="39" t="n">
        <v>89103.998976</v>
      </c>
      <c r="G10" s="39" t="n">
        <v>52259.999744</v>
      </c>
      <c r="H10" s="57" t="n">
        <v>45.671772</v>
      </c>
      <c r="I10" s="57" t="n">
        <v>33.34370119295804</v>
      </c>
    </row>
    <row r="11">
      <c r="B11" s="27" t="inlineStr">
        <is>
          <t>SK hynix Inc.</t>
        </is>
      </c>
      <c r="C11" s="27" t="inlineStr">
        <is>
          <t>SKHY</t>
        </is>
      </c>
      <c r="D11" s="39" t="n">
        <v>1330977.83296</v>
      </c>
      <c r="E11" s="39" t="n">
        <v>-65221959.876608</v>
      </c>
      <c r="F11" s="39" t="n">
        <v>189170609.815552</v>
      </c>
      <c r="G11" s="39" t="n">
        <v>143595352.8832</v>
      </c>
      <c r="H11" s="57" t="n">
        <v>11.363636</v>
      </c>
      <c r="I11" s="40" t="inlineStr">
        <is>
          <t>N/A</t>
        </is>
      </c>
    </row>
    <row r="12">
      <c r="B12" s="27" t="inlineStr">
        <is>
          <t>Micron Technology, Inc.</t>
        </is>
      </c>
      <c r="C12" s="27" t="inlineStr">
        <is>
          <t>MU</t>
        </is>
      </c>
      <c r="D12" s="39" t="n">
        <v>1147237.564416</v>
      </c>
      <c r="E12" s="39" t="n">
        <v>1127591.575552</v>
      </c>
      <c r="F12" s="39" t="n">
        <v>90273.99679999999</v>
      </c>
      <c r="G12" s="39" t="n">
        <v>68222.001152</v>
      </c>
      <c r="H12" s="57" t="n">
        <v>22.9352</v>
      </c>
      <c r="I12" s="57" t="n">
        <v>16.52826883573384</v>
      </c>
    </row>
    <row r="14" ht="20" customHeight="1">
      <c r="B14" s="24" t="inlineStr">
        <is>
          <t>PEER STATISTICS</t>
        </is>
      </c>
      <c r="C14" s="24" t="n"/>
      <c r="D14" s="24" t="n"/>
      <c r="E14" s="24" t="n"/>
      <c r="F14" s="24" t="n"/>
      <c r="G14" s="24" t="n"/>
      <c r="H14" s="24" t="n"/>
      <c r="I14" s="24" t="n"/>
    </row>
    <row r="15">
      <c r="B15" s="25" t="inlineStr">
        <is>
          <t>Statistic</t>
        </is>
      </c>
      <c r="C15" s="26" t="inlineStr"/>
      <c r="D15" s="26" t="inlineStr"/>
      <c r="E15" s="26" t="inlineStr"/>
      <c r="F15" s="26" t="inlineStr"/>
      <c r="G15" s="26" t="inlineStr"/>
      <c r="H15" s="26" t="inlineStr">
        <is>
          <t>P/E</t>
        </is>
      </c>
      <c r="I15" s="26" t="inlineStr">
        <is>
          <t>EV/EBITDA</t>
        </is>
      </c>
    </row>
    <row r="16">
      <c r="B16" s="27" t="inlineStr">
        <is>
          <t>25th Percentile</t>
        </is>
      </c>
      <c r="C16" s="27" t="n"/>
      <c r="D16" s="27" t="n"/>
      <c r="E16" s="27" t="n"/>
      <c r="F16" s="27" t="n"/>
      <c r="G16" s="27" t="n"/>
      <c r="H16" s="57" t="n">
        <v>22.9352</v>
      </c>
      <c r="I16" s="57" t="n">
        <v>18.49038635872031</v>
      </c>
    </row>
    <row r="17">
      <c r="B17" s="42" t="inlineStr">
        <is>
          <t>Median</t>
        </is>
      </c>
      <c r="C17" s="27" t="n"/>
      <c r="D17" s="27" t="n"/>
      <c r="E17" s="27" t="n"/>
      <c r="F17" s="27" t="n"/>
      <c r="G17" s="27" t="n"/>
      <c r="H17" s="58" t="n">
        <v>27.47802</v>
      </c>
      <c r="I17" s="58" t="n">
        <v>22.82109186441715</v>
      </c>
    </row>
    <row r="18">
      <c r="B18" s="27" t="inlineStr">
        <is>
          <t>75th Percentile</t>
        </is>
      </c>
      <c r="C18" s="27" t="n"/>
      <c r="D18" s="27" t="n"/>
      <c r="E18" s="27" t="n"/>
      <c r="F18" s="27" t="n"/>
      <c r="G18" s="27" t="n"/>
      <c r="H18" s="57" t="n">
        <v>28.099874</v>
      </c>
      <c r="I18" s="57" t="n">
        <v>28.20924394507838</v>
      </c>
    </row>
    <row r="19">
      <c r="B19" s="48" t="inlineStr">
        <is>
          <t>Number of valid peers</t>
        </is>
      </c>
      <c r="C19" s="27" t="n"/>
      <c r="D19" s="27" t="n"/>
      <c r="E19" s="27" t="n"/>
      <c r="F19" s="27" t="n"/>
      <c r="G19" s="27" t="n"/>
      <c r="H19" s="59" t="n">
        <v>5</v>
      </c>
      <c r="I19" s="59" t="n">
        <v>4</v>
      </c>
    </row>
    <row r="21" ht="20" customHeight="1">
      <c r="B21" s="24" t="inlineStr">
        <is>
          <t>IMPLIED VALUATION OF TARGET</t>
        </is>
      </c>
      <c r="C21" s="24" t="n"/>
      <c r="D21" s="24" t="n"/>
      <c r="E21" s="24" t="n"/>
      <c r="F21" s="24" t="n"/>
      <c r="G21" s="24" t="n"/>
      <c r="H21" s="24" t="n"/>
      <c r="I21" s="24" t="n"/>
    </row>
    <row r="22">
      <c r="B22" s="60" t="inlineStr">
        <is>
          <t>A. EV/EBITDA method</t>
        </is>
      </c>
    </row>
    <row r="23">
      <c r="B23" s="27" t="inlineStr">
        <is>
          <t>Target EBITDA (m)</t>
        </is>
      </c>
      <c r="C23" s="39" t="n">
        <v>167959.003136</v>
      </c>
    </row>
    <row r="24">
      <c r="B24" s="27" t="inlineStr">
        <is>
          <t>x Median EV/EBITDA</t>
        </is>
      </c>
      <c r="C24" s="57" t="n">
        <v>22.82109186441715</v>
      </c>
    </row>
    <row r="25">
      <c r="B25" s="27">
        <f> Implied Enterprise Value (m)</f>
        <v/>
      </c>
      <c r="C25" s="39" t="n">
        <v>3833007.840022584</v>
      </c>
    </row>
    <row r="26">
      <c r="B26" s="27" t="inlineStr">
        <is>
          <t>- Net Debt (m)</t>
        </is>
      </c>
      <c r="C26" s="39" t="n">
        <v>43960</v>
      </c>
    </row>
    <row r="27">
      <c r="B27" s="27">
        <f> Implied Equity Value (m)</f>
        <v/>
      </c>
      <c r="C27" s="39" t="n">
        <v>3789047.840022584</v>
      </c>
    </row>
    <row r="28">
      <c r="B28" s="27" t="inlineStr">
        <is>
          <t>/ Shares Outstanding (m)</t>
        </is>
      </c>
      <c r="C28" s="39" t="n">
        <v>14594.18</v>
      </c>
    </row>
    <row r="29">
      <c r="B29" s="42">
        <f> EV/EBITDA Implied Share Price</f>
        <v/>
      </c>
      <c r="C29" s="29" t="n">
        <v>259.6273199331915</v>
      </c>
    </row>
    <row r="31">
      <c r="B31" s="60" t="inlineStr">
        <is>
          <t>B. P/E method</t>
        </is>
      </c>
    </row>
    <row r="32">
      <c r="B32" s="27" t="inlineStr">
        <is>
          <t>Target EPS (trailing)</t>
        </is>
      </c>
      <c r="C32" s="28" t="n">
        <v>8.710000089657575</v>
      </c>
    </row>
    <row r="33">
      <c r="B33" s="27" t="inlineStr">
        <is>
          <t>x Median P/E</t>
        </is>
      </c>
      <c r="C33" s="57" t="n">
        <v>27.47802</v>
      </c>
    </row>
    <row r="34">
      <c r="B34" s="42">
        <f> P/E Implied Share Price</f>
        <v/>
      </c>
      <c r="C34" s="29" t="n">
        <v>239.3335566636126</v>
      </c>
    </row>
    <row r="36">
      <c r="B36" s="25" t="inlineStr">
        <is>
          <t>CCA IMPLIED PRICE (average of available methods)</t>
        </is>
      </c>
      <c r="C36" s="53" t="n">
        <v>249.480438298402</v>
      </c>
    </row>
    <row r="38" ht="20" customHeight="1">
      <c r="B38" s="24" t="inlineStr">
        <is>
          <t>CHART DATA</t>
        </is>
      </c>
      <c r="C38" s="24" t="n"/>
      <c r="D38" s="24" t="n"/>
      <c r="E38" s="24" t="n"/>
      <c r="F38" s="24" t="n"/>
      <c r="G38" s="24" t="n"/>
      <c r="H38" s="24" t="n"/>
      <c r="I38" s="24" t="n"/>
    </row>
    <row r="39">
      <c r="B39" s="25" t="inlineStr"/>
      <c r="C39" s="26" t="inlineStr">
        <is>
          <t>P/E</t>
        </is>
      </c>
      <c r="D39" s="26" t="inlineStr">
        <is>
          <t>EV/EBITDA</t>
        </is>
      </c>
    </row>
    <row r="40">
      <c r="B40" s="27" t="inlineStr">
        <is>
          <t>Target</t>
        </is>
      </c>
      <c r="C40" s="57" t="n">
        <v>38.591274</v>
      </c>
      <c r="D40" s="57" t="n">
        <v>29.33743709642113</v>
      </c>
    </row>
    <row r="41">
      <c r="B41" s="27" t="inlineStr">
        <is>
          <t>25th Percentile</t>
        </is>
      </c>
      <c r="C41" s="57" t="n">
        <v>22.9352</v>
      </c>
      <c r="D41" s="57" t="n">
        <v>18.49038635872031</v>
      </c>
    </row>
    <row r="42">
      <c r="B42" s="27" t="inlineStr">
        <is>
          <t>Median</t>
        </is>
      </c>
      <c r="C42" s="57" t="n">
        <v>27.47802</v>
      </c>
      <c r="D42" s="57" t="n">
        <v>22.82109186441715</v>
      </c>
    </row>
    <row r="43">
      <c r="B43" s="27" t="inlineStr">
        <is>
          <t>75th Percentile</t>
        </is>
      </c>
      <c r="C43" s="57" t="n">
        <v>28.099874</v>
      </c>
      <c r="D43" s="57" t="n">
        <v>28.20924394507838</v>
      </c>
    </row>
  </sheetData>
  <mergeCells count="3">
    <mergeCell ref="B1:I1"/>
    <mergeCell ref="B2:I2"/>
    <mergeCell ref="B3:I3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B1:J25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9" max="9"/>
    <col width="14" customWidth="1" min="10" max="10"/>
  </cols>
  <sheetData>
    <row r="1" ht="30" customHeight="1">
      <c r="B1" s="36" t="inlineStr">
        <is>
          <t>HISTORICAL FINANCIALS</t>
        </is>
      </c>
    </row>
    <row r="2">
      <c r="B2" s="37" t="inlineStr">
        <is>
          <t>Apple Inc. (AAPL)  |  Analysis date 21 Sep 2026</t>
        </is>
      </c>
    </row>
    <row r="3">
      <c r="B3" s="38" t="inlineStr">
        <is>
          <t>Source: Yahoo Finance annual statements (Historical Data). Millions of USD.</t>
        </is>
      </c>
    </row>
    <row r="5">
      <c r="B5" s="25" t="inlineStr">
        <is>
          <t>Metric</t>
        </is>
      </c>
      <c r="C5" s="26" t="inlineStr">
        <is>
          <t>FY2022</t>
        </is>
      </c>
      <c r="D5" s="26" t="inlineStr">
        <is>
          <t>FY2023</t>
        </is>
      </c>
      <c r="E5" s="26" t="inlineStr">
        <is>
          <t>FY2024</t>
        </is>
      </c>
      <c r="F5" s="26" t="inlineStr">
        <is>
          <t>FY2025</t>
        </is>
      </c>
      <c r="I5" s="26" t="inlineStr">
        <is>
          <t>Date</t>
        </is>
      </c>
      <c r="J5" s="26" t="inlineStr">
        <is>
          <t>Close (USD)</t>
        </is>
      </c>
    </row>
    <row r="6">
      <c r="B6" s="42" t="inlineStr">
        <is>
          <t>Revenue</t>
        </is>
      </c>
      <c r="C6" s="43" t="n">
        <v>394328</v>
      </c>
      <c r="D6" s="43" t="n">
        <v>383285</v>
      </c>
      <c r="E6" s="43" t="n">
        <v>391035</v>
      </c>
      <c r="F6" s="43" t="n">
        <v>416161</v>
      </c>
      <c r="I6" s="61" t="inlineStr">
        <is>
          <t>2025-09-19</t>
        </is>
      </c>
      <c r="J6" s="62" t="n">
        <v>244.5964660644531</v>
      </c>
    </row>
    <row r="7">
      <c r="B7" s="27" t="inlineStr">
        <is>
          <t>Revenue Growth</t>
        </is>
      </c>
      <c r="C7" s="40" t="inlineStr">
        <is>
          <t>N/A</t>
        </is>
      </c>
      <c r="D7" s="41" t="n">
        <v>-0.02800460530319937</v>
      </c>
      <c r="E7" s="41" t="n">
        <v>0.02021994077514111</v>
      </c>
      <c r="F7" s="41" t="n">
        <v>0.06425511782832749</v>
      </c>
      <c r="I7" s="61" t="inlineStr">
        <is>
          <t>2025-09-22</t>
        </is>
      </c>
      <c r="J7" s="62" t="n">
        <v>255.1374969482422</v>
      </c>
    </row>
    <row r="8">
      <c r="B8" s="27" t="inlineStr">
        <is>
          <t>Gross Profit</t>
        </is>
      </c>
      <c r="C8" s="39" t="n">
        <v>170782</v>
      </c>
      <c r="D8" s="39" t="n">
        <v>169148</v>
      </c>
      <c r="E8" s="39" t="n">
        <v>180683</v>
      </c>
      <c r="F8" s="39" t="n">
        <v>195201</v>
      </c>
      <c r="I8" s="61" t="inlineStr">
        <is>
          <t>2025-09-23</t>
        </is>
      </c>
      <c r="J8" s="62" t="n">
        <v>253.4936065673828</v>
      </c>
    </row>
    <row r="9">
      <c r="B9" s="27" t="inlineStr">
        <is>
          <t>Gross Margin</t>
        </is>
      </c>
      <c r="C9" s="41" t="n">
        <v>0.4330963056136009</v>
      </c>
      <c r="D9" s="41" t="n">
        <v>0.4413112957720756</v>
      </c>
      <c r="E9" s="41" t="n">
        <v>0.4620634981523393</v>
      </c>
      <c r="F9" s="41" t="n">
        <v>0.4690516410716045</v>
      </c>
      <c r="I9" s="61" t="inlineStr">
        <is>
          <t>2025-09-24</t>
        </is>
      </c>
      <c r="J9" s="62" t="n">
        <v>251.3813934326172</v>
      </c>
    </row>
    <row r="10">
      <c r="B10" s="42" t="inlineStr">
        <is>
          <t>Operating Income</t>
        </is>
      </c>
      <c r="C10" s="43" t="n">
        <v>119437</v>
      </c>
      <c r="D10" s="43" t="n">
        <v>114301</v>
      </c>
      <c r="E10" s="43" t="n">
        <v>123216</v>
      </c>
      <c r="F10" s="43" t="n">
        <v>133050</v>
      </c>
      <c r="I10" s="61" t="inlineStr">
        <is>
          <t>2025-09-25</t>
        </is>
      </c>
      <c r="J10" s="62" t="n">
        <v>255.9245910644531</v>
      </c>
    </row>
    <row r="11">
      <c r="B11" s="27" t="inlineStr">
        <is>
          <t>Operating Margin</t>
        </is>
      </c>
      <c r="C11" s="41" t="n">
        <v>0.3028874439552859</v>
      </c>
      <c r="D11" s="41" t="n">
        <v>0.2982141226502472</v>
      </c>
      <c r="E11" s="41" t="n">
        <v>0.3151022287007557</v>
      </c>
      <c r="F11" s="41" t="n">
        <v>0.3197079976259188</v>
      </c>
      <c r="I11" s="61" t="inlineStr">
        <is>
          <t>2025-09-26</t>
        </is>
      </c>
      <c r="J11" s="62" t="n">
        <v>254.5198059082031</v>
      </c>
    </row>
    <row r="12">
      <c r="B12" s="42" t="inlineStr">
        <is>
          <t>Net Income</t>
        </is>
      </c>
      <c r="C12" s="43" t="n">
        <v>99803</v>
      </c>
      <c r="D12" s="43" t="n">
        <v>96995</v>
      </c>
      <c r="E12" s="43" t="n">
        <v>93736</v>
      </c>
      <c r="F12" s="43" t="n">
        <v>112010</v>
      </c>
      <c r="I12" s="61" t="inlineStr">
        <is>
          <t>2025-09-29</t>
        </is>
      </c>
      <c r="J12" s="62" t="n">
        <v>253.4936065673828</v>
      </c>
    </row>
    <row r="13">
      <c r="B13" s="27" t="inlineStr">
        <is>
          <t>Net Margin</t>
        </is>
      </c>
      <c r="C13" s="41" t="n">
        <v>0.2530964070519973</v>
      </c>
      <c r="D13" s="41" t="n">
        <v>0.2530623426432028</v>
      </c>
      <c r="E13" s="41" t="n">
        <v>0.2397125576994387</v>
      </c>
      <c r="F13" s="41" t="n">
        <v>0.2691506412181824</v>
      </c>
      <c r="I13" s="61" t="inlineStr">
        <is>
          <t>2025-09-30</t>
        </is>
      </c>
      <c r="J13" s="62" t="n">
        <v>253.69287109375</v>
      </c>
    </row>
    <row r="14">
      <c r="B14" s="27" t="inlineStr">
        <is>
          <t>EBITDA</t>
        </is>
      </c>
      <c r="C14" s="39" t="n">
        <v>130541</v>
      </c>
      <c r="D14" s="39" t="n">
        <v>125820</v>
      </c>
      <c r="E14" s="39" t="n">
        <v>134661</v>
      </c>
      <c r="F14" s="39" t="n">
        <v>144748</v>
      </c>
      <c r="I14" s="61" t="inlineStr">
        <is>
          <t>2025-10-01</t>
        </is>
      </c>
      <c r="J14" s="62" t="n">
        <v>254.5098419189453</v>
      </c>
    </row>
    <row r="15">
      <c r="B15" s="27" t="inlineStr">
        <is>
          <t>Capital Expenditure</t>
        </is>
      </c>
      <c r="C15" s="39" t="n">
        <v>10708</v>
      </c>
      <c r="D15" s="39" t="n">
        <v>10959</v>
      </c>
      <c r="E15" s="39" t="n">
        <v>9447</v>
      </c>
      <c r="F15" s="39" t="n">
        <v>12715</v>
      </c>
      <c r="I15" s="61" t="inlineStr">
        <is>
          <t>2025-10-02</t>
        </is>
      </c>
      <c r="J15" s="62" t="n">
        <v>256.1836853027344</v>
      </c>
    </row>
    <row r="16">
      <c r="B16" s="42" t="inlineStr">
        <is>
          <t>Free Cash Flow</t>
        </is>
      </c>
      <c r="C16" s="43" t="n">
        <v>111443</v>
      </c>
      <c r="D16" s="43" t="n">
        <v>99584</v>
      </c>
      <c r="E16" s="43" t="n">
        <v>108807</v>
      </c>
      <c r="F16" s="43" t="n">
        <v>98767</v>
      </c>
      <c r="I16" s="61" t="inlineStr">
        <is>
          <t>2025-10-03</t>
        </is>
      </c>
      <c r="J16" s="62" t="n">
        <v>257.0703735351562</v>
      </c>
    </row>
    <row r="17">
      <c r="B17" s="27" t="inlineStr">
        <is>
          <t>Total Debt</t>
        </is>
      </c>
      <c r="C17" s="39" t="n">
        <v>132480</v>
      </c>
      <c r="D17" s="39" t="n">
        <v>111088</v>
      </c>
      <c r="E17" s="39" t="n">
        <v>106629</v>
      </c>
      <c r="F17" s="39" t="n">
        <v>98657</v>
      </c>
      <c r="I17" s="61" t="inlineStr">
        <is>
          <t>2025-10-06</t>
        </is>
      </c>
      <c r="J17" s="62" t="n">
        <v>255.7452850341797</v>
      </c>
    </row>
    <row r="18">
      <c r="B18" s="27" t="inlineStr">
        <is>
          <t>Debt / Equity</t>
        </is>
      </c>
      <c r="C18" s="63" t="n">
        <v>2.614461635617304</v>
      </c>
      <c r="D18" s="63" t="n">
        <v>1.787532584558942</v>
      </c>
      <c r="E18" s="63" t="n">
        <v>1.872326602282704</v>
      </c>
      <c r="F18" s="63" t="n">
        <v>1.338030461258866</v>
      </c>
      <c r="I18" s="61" t="inlineStr">
        <is>
          <t>2025-10-07</t>
        </is>
      </c>
      <c r="J18" s="62" t="n">
        <v>255.5360717773438</v>
      </c>
    </row>
    <row r="19">
      <c r="I19" s="61" t="inlineStr">
        <is>
          <t>2025-10-08</t>
        </is>
      </c>
      <c r="J19" s="62" t="n">
        <v>257.1102600097656</v>
      </c>
    </row>
    <row r="20">
      <c r="I20" s="61" t="inlineStr">
        <is>
          <t>2025-10-09</t>
        </is>
      </c>
      <c r="J20" s="62" t="n">
        <v>253.1050262451172</v>
      </c>
    </row>
    <row r="21">
      <c r="I21" s="61" t="inlineStr">
        <is>
          <t>2025-10-10</t>
        </is>
      </c>
      <c r="J21" s="62" t="n">
        <v>244.3673095703125</v>
      </c>
    </row>
    <row r="22">
      <c r="I22" s="61" t="inlineStr">
        <is>
          <t>2025-10-13</t>
        </is>
      </c>
      <c r="J22" s="62" t="n">
        <v>246.7485198974609</v>
      </c>
    </row>
    <row r="23">
      <c r="I23" s="61" t="inlineStr">
        <is>
          <t>2025-10-14</t>
        </is>
      </c>
      <c r="J23" s="62" t="n">
        <v>246.8581237792969</v>
      </c>
    </row>
    <row r="24">
      <c r="I24" s="61" t="inlineStr">
        <is>
          <t>2025-10-15</t>
        </is>
      </c>
      <c r="J24" s="62" t="n">
        <v>248.4223175048828</v>
      </c>
    </row>
    <row r="25">
      <c r="I25" s="61" t="inlineStr">
        <is>
          <t>2025-10-16</t>
        </is>
      </c>
      <c r="J25" s="62" t="n">
        <v>246.5392761230469</v>
      </c>
    </row>
    <row r="26">
      <c r="I26" s="61" t="inlineStr">
        <is>
          <t>2025-10-17</t>
        </is>
      </c>
      <c r="J26" s="62" t="n">
        <v>251.3614807128906</v>
      </c>
    </row>
    <row r="27">
      <c r="I27" s="61" t="inlineStr">
        <is>
          <t>2025-10-20</t>
        </is>
      </c>
      <c r="J27" s="62" t="n">
        <v>261.2748413085938</v>
      </c>
    </row>
    <row r="28">
      <c r="I28" s="61" t="inlineStr">
        <is>
          <t>2025-10-21</t>
        </is>
      </c>
      <c r="J28" s="62" t="n">
        <v>261.8028869628906</v>
      </c>
    </row>
    <row r="29">
      <c r="I29" s="61" t="inlineStr">
        <is>
          <t>2025-10-22</t>
        </is>
      </c>
      <c r="J29" s="62" t="n">
        <v>257.4988098144531</v>
      </c>
    </row>
    <row r="30">
      <c r="I30" s="61" t="inlineStr">
        <is>
          <t>2025-10-23</t>
        </is>
      </c>
      <c r="J30" s="62" t="n">
        <v>258.6246032714844</v>
      </c>
    </row>
    <row r="31">
      <c r="I31" s="61" t="inlineStr">
        <is>
          <t>2025-10-24</t>
        </is>
      </c>
      <c r="J31" s="62" t="n">
        <v>261.8527221679688</v>
      </c>
    </row>
    <row r="32">
      <c r="I32" s="61" t="inlineStr">
        <is>
          <t>2025-10-27</t>
        </is>
      </c>
      <c r="J32" s="62" t="n">
        <v>267.8206787109375</v>
      </c>
    </row>
    <row r="33">
      <c r="I33" s="61" t="inlineStr">
        <is>
          <t>2025-10-28</t>
        </is>
      </c>
      <c r="J33" s="62" t="n">
        <v>268.0099487304688</v>
      </c>
    </row>
    <row r="34">
      <c r="I34" s="61" t="inlineStr">
        <is>
          <t>2025-10-29</t>
        </is>
      </c>
      <c r="J34" s="62" t="n">
        <v>268.7074279785156</v>
      </c>
    </row>
    <row r="35">
      <c r="I35" s="61" t="inlineStr">
        <is>
          <t>2025-10-30</t>
        </is>
      </c>
      <c r="J35" s="62" t="n">
        <v>270.4011535644531</v>
      </c>
    </row>
    <row r="36">
      <c r="I36" s="61" t="inlineStr">
        <is>
          <t>2025-10-31</t>
        </is>
      </c>
      <c r="J36" s="62" t="n">
        <v>269.3749389648438</v>
      </c>
    </row>
    <row r="37">
      <c r="I37" s="61" t="inlineStr">
        <is>
          <t>2025-11-03</t>
        </is>
      </c>
      <c r="J37" s="62" t="n">
        <v>268.0597839355469</v>
      </c>
    </row>
    <row r="38">
      <c r="I38" s="61" t="inlineStr">
        <is>
          <t>2025-11-04</t>
        </is>
      </c>
      <c r="J38" s="62" t="n">
        <v>269.0461730957031</v>
      </c>
    </row>
    <row r="39">
      <c r="I39" s="61" t="inlineStr">
        <is>
          <t>2025-11-05</t>
        </is>
      </c>
      <c r="J39" s="62" t="n">
        <v>269.1458129882812</v>
      </c>
    </row>
    <row r="40">
      <c r="I40" s="61" t="inlineStr">
        <is>
          <t>2025-11-06</t>
        </is>
      </c>
      <c r="J40" s="62" t="n">
        <v>268.7771301269531</v>
      </c>
    </row>
    <row r="41">
      <c r="I41" s="61" t="inlineStr">
        <is>
          <t>2025-11-07</t>
        </is>
      </c>
      <c r="J41" s="62" t="n">
        <v>267.48193359375</v>
      </c>
    </row>
    <row r="42">
      <c r="I42" s="61" t="inlineStr">
        <is>
          <t>2025-11-10</t>
        </is>
      </c>
      <c r="J42" s="62" t="n">
        <v>268.6985778808594</v>
      </c>
    </row>
    <row r="43">
      <c r="I43" s="61" t="inlineStr">
        <is>
          <t>2025-11-11</t>
        </is>
      </c>
      <c r="J43" s="62" t="n">
        <v>274.5028076171875</v>
      </c>
    </row>
    <row r="44">
      <c r="I44" s="61" t="inlineStr">
        <is>
          <t>2025-11-12</t>
        </is>
      </c>
      <c r="J44" s="62" t="n">
        <v>272.7276611328125</v>
      </c>
    </row>
    <row r="45">
      <c r="I45" s="61" t="inlineStr">
        <is>
          <t>2025-11-13</t>
        </is>
      </c>
      <c r="J45" s="62" t="n">
        <v>272.2090759277344</v>
      </c>
    </row>
    <row r="46">
      <c r="I46" s="61" t="inlineStr">
        <is>
          <t>2025-11-14</t>
        </is>
      </c>
      <c r="J46" s="62" t="n">
        <v>271.6705322265625</v>
      </c>
    </row>
    <row r="47">
      <c r="I47" s="61" t="inlineStr">
        <is>
          <t>2025-11-17</t>
        </is>
      </c>
      <c r="J47" s="62" t="n">
        <v>266.7339782714844</v>
      </c>
    </row>
    <row r="48">
      <c r="I48" s="61" t="inlineStr">
        <is>
          <t>2025-11-18</t>
        </is>
      </c>
      <c r="J48" s="62" t="n">
        <v>266.7139892578125</v>
      </c>
    </row>
    <row r="49">
      <c r="I49" s="61" t="inlineStr">
        <is>
          <t>2025-11-19</t>
        </is>
      </c>
      <c r="J49" s="62" t="n">
        <v>267.8309936523438</v>
      </c>
    </row>
    <row r="50">
      <c r="I50" s="61" t="inlineStr">
        <is>
          <t>2025-11-20</t>
        </is>
      </c>
      <c r="J50" s="62" t="n">
        <v>265.5272521972656</v>
      </c>
    </row>
    <row r="51">
      <c r="I51" s="61" t="inlineStr">
        <is>
          <t>2025-11-21</t>
        </is>
      </c>
      <c r="J51" s="62" t="n">
        <v>270.7529907226562</v>
      </c>
    </row>
    <row r="52">
      <c r="I52" s="61" t="inlineStr">
        <is>
          <t>2025-11-24</t>
        </is>
      </c>
      <c r="J52" s="62" t="n">
        <v>275.1710205078125</v>
      </c>
    </row>
    <row r="53">
      <c r="I53" s="61" t="inlineStr">
        <is>
          <t>2025-11-25</t>
        </is>
      </c>
      <c r="J53" s="62" t="n">
        <v>276.2181396484375</v>
      </c>
    </row>
    <row r="54">
      <c r="I54" s="61" t="inlineStr">
        <is>
          <t>2025-11-26</t>
        </is>
      </c>
      <c r="J54" s="62" t="n">
        <v>276.7965698242188</v>
      </c>
    </row>
    <row r="55">
      <c r="I55" s="61" t="inlineStr">
        <is>
          <t>2025-11-28</t>
        </is>
      </c>
      <c r="J55" s="62" t="n">
        <v>278.0930480957031</v>
      </c>
    </row>
    <row r="56">
      <c r="I56" s="61" t="inlineStr">
        <is>
          <t>2025-12-01</t>
        </is>
      </c>
      <c r="J56" s="62" t="n">
        <v>282.3314819335938</v>
      </c>
    </row>
    <row r="57">
      <c r="I57" s="61" t="inlineStr">
        <is>
          <t>2025-12-02</t>
        </is>
      </c>
      <c r="J57" s="62" t="n">
        <v>285.4131164550781</v>
      </c>
    </row>
    <row r="58">
      <c r="I58" s="61" t="inlineStr">
        <is>
          <t>2025-12-03</t>
        </is>
      </c>
      <c r="J58" s="62" t="n">
        <v>283.378662109375</v>
      </c>
    </row>
    <row r="59">
      <c r="I59" s="61" t="inlineStr">
        <is>
          <t>2025-12-04</t>
        </is>
      </c>
      <c r="J59" s="62" t="n">
        <v>279.9380493164062</v>
      </c>
    </row>
    <row r="60">
      <c r="I60" s="61" t="inlineStr">
        <is>
          <t>2025-12-05</t>
        </is>
      </c>
      <c r="J60" s="62" t="n">
        <v>278.0232238769531</v>
      </c>
    </row>
    <row r="61">
      <c r="I61" s="61" t="inlineStr">
        <is>
          <t>2025-12-08</t>
        </is>
      </c>
      <c r="J61" s="62" t="n">
        <v>277.1356506347656</v>
      </c>
    </row>
    <row r="62">
      <c r="I62" s="61" t="inlineStr">
        <is>
          <t>2025-12-09</t>
        </is>
      </c>
      <c r="J62" s="62" t="n">
        <v>276.4275512695312</v>
      </c>
    </row>
    <row r="63">
      <c r="I63" s="61" t="inlineStr">
        <is>
          <t>2025-12-10</t>
        </is>
      </c>
      <c r="J63" s="62" t="n">
        <v>278.0232238769531</v>
      </c>
    </row>
    <row r="64">
      <c r="I64" s="61" t="inlineStr">
        <is>
          <t>2025-12-11</t>
        </is>
      </c>
      <c r="J64" s="62" t="n">
        <v>277.2752380371094</v>
      </c>
    </row>
    <row r="65">
      <c r="I65" s="61" t="inlineStr">
        <is>
          <t>2025-12-12</t>
        </is>
      </c>
      <c r="J65" s="62" t="n">
        <v>277.5245971679688</v>
      </c>
    </row>
    <row r="66">
      <c r="I66" s="61" t="inlineStr">
        <is>
          <t>2025-12-15</t>
        </is>
      </c>
      <c r="J66" s="62" t="n">
        <v>273.3658752441406</v>
      </c>
    </row>
    <row r="67">
      <c r="I67" s="61" t="inlineStr">
        <is>
          <t>2025-12-16</t>
        </is>
      </c>
      <c r="J67" s="62" t="n">
        <v>273.8645324707031</v>
      </c>
    </row>
    <row r="68">
      <c r="I68" s="61" t="inlineStr">
        <is>
          <t>2025-12-17</t>
        </is>
      </c>
      <c r="J68" s="62" t="n">
        <v>271.1020812988281</v>
      </c>
    </row>
    <row r="69">
      <c r="I69" s="61" t="inlineStr">
        <is>
          <t>2025-12-18</t>
        </is>
      </c>
      <c r="J69" s="62" t="n">
        <v>271.4511108398438</v>
      </c>
    </row>
    <row r="70">
      <c r="I70" s="61" t="inlineStr">
        <is>
          <t>2025-12-19</t>
        </is>
      </c>
      <c r="J70" s="62" t="n">
        <v>272.9271545410156</v>
      </c>
    </row>
    <row r="71">
      <c r="I71" s="61" t="inlineStr">
        <is>
          <t>2025-12-22</t>
        </is>
      </c>
      <c r="J71" s="62" t="n">
        <v>270.2344360351562</v>
      </c>
    </row>
    <row r="72">
      <c r="I72" s="61" t="inlineStr">
        <is>
          <t>2025-12-23</t>
        </is>
      </c>
      <c r="J72" s="62" t="n">
        <v>271.6206665039062</v>
      </c>
    </row>
    <row r="73">
      <c r="I73" s="61" t="inlineStr">
        <is>
          <t>2025-12-24</t>
        </is>
      </c>
      <c r="J73" s="62" t="n">
        <v>273.0667114257812</v>
      </c>
    </row>
    <row r="74">
      <c r="I74" s="61" t="inlineStr">
        <is>
          <t>2025-12-26</t>
        </is>
      </c>
      <c r="J74" s="62" t="n">
        <v>272.6578369140625</v>
      </c>
    </row>
    <row r="75">
      <c r="I75" s="61" t="inlineStr">
        <is>
          <t>2025-12-29</t>
        </is>
      </c>
      <c r="J75" s="62" t="n">
        <v>273.0168762207031</v>
      </c>
    </row>
    <row r="76">
      <c r="I76" s="61" t="inlineStr">
        <is>
          <t>2025-12-30</t>
        </is>
      </c>
      <c r="J76" s="62" t="n">
        <v>272.3386840820312</v>
      </c>
    </row>
    <row r="77">
      <c r="I77" s="61" t="inlineStr">
        <is>
          <t>2025-12-31</t>
        </is>
      </c>
      <c r="J77" s="62" t="n">
        <v>271.1220092773438</v>
      </c>
    </row>
    <row r="78">
      <c r="I78" s="61" t="inlineStr">
        <is>
          <t>2026-01-02</t>
        </is>
      </c>
      <c r="J78" s="62" t="n">
        <v>270.2743530273438</v>
      </c>
    </row>
    <row r="79">
      <c r="I79" s="61" t="inlineStr">
        <is>
          <t>2026-01-05</t>
        </is>
      </c>
      <c r="J79" s="62" t="n">
        <v>266.5345458984375</v>
      </c>
    </row>
    <row r="80">
      <c r="I80" s="61" t="inlineStr">
        <is>
          <t>2026-01-06</t>
        </is>
      </c>
      <c r="J80" s="62" t="n">
        <v>261.6477661132812</v>
      </c>
    </row>
    <row r="81">
      <c r="I81" s="61" t="inlineStr">
        <is>
          <t>2026-01-07</t>
        </is>
      </c>
      <c r="J81" s="62" t="n">
        <v>259.6233215332031</v>
      </c>
    </row>
    <row r="82">
      <c r="I82" s="61" t="inlineStr">
        <is>
          <t>2026-01-08</t>
        </is>
      </c>
      <c r="J82" s="62" t="n">
        <v>258.3368530273438</v>
      </c>
    </row>
    <row r="83">
      <c r="I83" s="61" t="inlineStr">
        <is>
          <t>2026-01-09</t>
        </is>
      </c>
      <c r="J83" s="62" t="n">
        <v>258.6659240722656</v>
      </c>
    </row>
    <row r="84">
      <c r="I84" s="61" t="inlineStr">
        <is>
          <t>2026-01-12</t>
        </is>
      </c>
      <c r="J84" s="62" t="n">
        <v>259.5435180664062</v>
      </c>
    </row>
    <row r="85">
      <c r="I85" s="61" t="inlineStr">
        <is>
          <t>2026-01-13</t>
        </is>
      </c>
      <c r="J85" s="62" t="n">
        <v>260.3413696289062</v>
      </c>
    </row>
    <row r="86">
      <c r="I86" s="61" t="inlineStr">
        <is>
          <t>2026-01-14</t>
        </is>
      </c>
      <c r="J86" s="62" t="n">
        <v>259.2543334960938</v>
      </c>
    </row>
    <row r="87">
      <c r="I87" s="61" t="inlineStr">
        <is>
          <t>2026-01-15</t>
        </is>
      </c>
      <c r="J87" s="62" t="n">
        <v>257.5090637207031</v>
      </c>
    </row>
    <row r="88">
      <c r="I88" s="61" t="inlineStr">
        <is>
          <t>2026-01-16</t>
        </is>
      </c>
      <c r="J88" s="62" t="n">
        <v>254.8363647460938</v>
      </c>
    </row>
    <row r="89">
      <c r="I89" s="61" t="inlineStr">
        <is>
          <t>2026-01-20</t>
        </is>
      </c>
      <c r="J89" s="62" t="n">
        <v>246.0303192138672</v>
      </c>
    </row>
    <row r="90">
      <c r="I90" s="61" t="inlineStr">
        <is>
          <t>2026-01-21</t>
        </is>
      </c>
      <c r="J90" s="62" t="n">
        <v>246.9777526855469</v>
      </c>
    </row>
    <row r="91">
      <c r="I91" s="61" t="inlineStr">
        <is>
          <t>2026-01-22</t>
        </is>
      </c>
      <c r="J91" s="62" t="n">
        <v>247.6758422851562</v>
      </c>
    </row>
    <row r="92">
      <c r="I92" s="61" t="inlineStr">
        <is>
          <t>2026-01-23</t>
        </is>
      </c>
      <c r="J92" s="62" t="n">
        <v>247.3666839599609</v>
      </c>
    </row>
    <row r="93">
      <c r="I93" s="61" t="inlineStr">
        <is>
          <t>2026-01-26</t>
        </is>
      </c>
      <c r="J93" s="62" t="n">
        <v>254.7166748046875</v>
      </c>
    </row>
    <row r="94">
      <c r="I94" s="61" t="inlineStr">
        <is>
          <t>2026-01-27</t>
        </is>
      </c>
      <c r="J94" s="62" t="n">
        <v>257.5689086914062</v>
      </c>
    </row>
    <row r="95">
      <c r="I95" s="61" t="inlineStr">
        <is>
          <t>2026-01-28</t>
        </is>
      </c>
      <c r="J95" s="62" t="n">
        <v>255.7438812255859</v>
      </c>
    </row>
    <row r="96">
      <c r="I96" s="61" t="inlineStr">
        <is>
          <t>2026-01-29</t>
        </is>
      </c>
      <c r="J96" s="62" t="n">
        <v>257.578857421875</v>
      </c>
    </row>
    <row r="97">
      <c r="I97" s="61" t="inlineStr">
        <is>
          <t>2026-01-30</t>
        </is>
      </c>
      <c r="J97" s="62" t="n">
        <v>258.775634765625</v>
      </c>
    </row>
    <row r="98">
      <c r="I98" s="61" t="inlineStr">
        <is>
          <t>2026-02-02</t>
        </is>
      </c>
      <c r="J98" s="62" t="n">
        <v>269.2770690917969</v>
      </c>
    </row>
    <row r="99">
      <c r="I99" s="61" t="inlineStr">
        <is>
          <t>2026-02-03</t>
        </is>
      </c>
      <c r="J99" s="62" t="n">
        <v>268.7485046386719</v>
      </c>
    </row>
    <row r="100">
      <c r="I100" s="61" t="inlineStr">
        <is>
          <t>2026-02-04</t>
        </is>
      </c>
      <c r="J100" s="62" t="n">
        <v>275.7394409179688</v>
      </c>
    </row>
    <row r="101">
      <c r="I101" s="61" t="inlineStr">
        <is>
          <t>2026-02-05</t>
        </is>
      </c>
      <c r="J101" s="62" t="n">
        <v>275.1610107421875</v>
      </c>
    </row>
    <row r="102">
      <c r="I102" s="61" t="inlineStr">
        <is>
          <t>2026-02-06</t>
        </is>
      </c>
      <c r="J102" s="62" t="n">
        <v>277.3650512695312</v>
      </c>
    </row>
    <row r="103">
      <c r="I103" s="61" t="inlineStr">
        <is>
          <t>2026-02-09</t>
        </is>
      </c>
      <c r="J103" s="62" t="n">
        <v>274.1307983398438</v>
      </c>
    </row>
    <row r="104">
      <c r="I104" s="61" t="inlineStr">
        <is>
          <t>2026-02-10</t>
        </is>
      </c>
      <c r="J104" s="62" t="n">
        <v>273.1924438476562</v>
      </c>
    </row>
    <row r="105">
      <c r="I105" s="61" t="inlineStr">
        <is>
          <t>2026-02-11</t>
        </is>
      </c>
      <c r="J105" s="62" t="n">
        <v>275.0092163085938</v>
      </c>
    </row>
    <row r="106">
      <c r="I106" s="61" t="inlineStr">
        <is>
          <t>2026-02-12</t>
        </is>
      </c>
      <c r="J106" s="62" t="n">
        <v>261.2637634277344</v>
      </c>
    </row>
    <row r="107">
      <c r="I107" s="61" t="inlineStr">
        <is>
          <t>2026-02-13</t>
        </is>
      </c>
      <c r="J107" s="62" t="n">
        <v>255.3243560791016</v>
      </c>
    </row>
    <row r="108">
      <c r="I108" s="61" t="inlineStr">
        <is>
          <t>2026-02-17</t>
        </is>
      </c>
      <c r="J108" s="62" t="n">
        <v>263.4099426269531</v>
      </c>
    </row>
    <row r="109">
      <c r="I109" s="61" t="inlineStr">
        <is>
          <t>2026-02-18</t>
        </is>
      </c>
      <c r="J109" s="62" t="n">
        <v>263.8791198730469</v>
      </c>
    </row>
    <row r="110">
      <c r="I110" s="61" t="inlineStr">
        <is>
          <t>2026-02-19</t>
        </is>
      </c>
      <c r="J110" s="62" t="n">
        <v>260.1157836914062</v>
      </c>
    </row>
    <row r="111">
      <c r="I111" s="61" t="inlineStr">
        <is>
          <t>2026-02-20</t>
        </is>
      </c>
      <c r="J111" s="62" t="n">
        <v>264.1086730957031</v>
      </c>
    </row>
    <row r="112">
      <c r="I112" s="61" t="inlineStr">
        <is>
          <t>2026-02-23</t>
        </is>
      </c>
      <c r="J112" s="62" t="n">
        <v>265.705810546875</v>
      </c>
    </row>
    <row r="113">
      <c r="I113" s="61" t="inlineStr">
        <is>
          <t>2026-02-24</t>
        </is>
      </c>
      <c r="J113" s="62" t="n">
        <v>271.6552429199219</v>
      </c>
    </row>
    <row r="114">
      <c r="I114" s="61" t="inlineStr">
        <is>
          <t>2026-02-25</t>
        </is>
      </c>
      <c r="J114" s="62" t="n">
        <v>273.7415161132812</v>
      </c>
    </row>
    <row r="115">
      <c r="I115" s="61" t="inlineStr">
        <is>
          <t>2026-02-26</t>
        </is>
      </c>
      <c r="J115" s="62" t="n">
        <v>272.4637756347656</v>
      </c>
    </row>
    <row r="116">
      <c r="I116" s="61" t="inlineStr">
        <is>
          <t>2026-02-27</t>
        </is>
      </c>
      <c r="J116" s="62" t="n">
        <v>263.7094116210938</v>
      </c>
    </row>
    <row r="117">
      <c r="I117" s="61" t="inlineStr">
        <is>
          <t>2026-03-02</t>
        </is>
      </c>
      <c r="J117" s="62" t="n">
        <v>264.2484130859375</v>
      </c>
    </row>
    <row r="118">
      <c r="I118" s="61" t="inlineStr">
        <is>
          <t>2026-03-03</t>
        </is>
      </c>
      <c r="J118" s="62" t="n">
        <v>263.2801818847656</v>
      </c>
    </row>
    <row r="119">
      <c r="I119" s="61" t="inlineStr">
        <is>
          <t>2026-03-04</t>
        </is>
      </c>
      <c r="J119" s="62" t="n">
        <v>262.0523376464844</v>
      </c>
    </row>
    <row r="120">
      <c r="I120" s="61" t="inlineStr">
        <is>
          <t>2026-03-05</t>
        </is>
      </c>
      <c r="J120" s="62" t="n">
        <v>259.8263244628906</v>
      </c>
    </row>
    <row r="121">
      <c r="I121" s="61" t="inlineStr">
        <is>
          <t>2026-03-06</t>
        </is>
      </c>
      <c r="J121" s="62" t="n">
        <v>257.0013427734375</v>
      </c>
    </row>
    <row r="122">
      <c r="I122" s="61" t="inlineStr">
        <is>
          <t>2026-03-09</t>
        </is>
      </c>
      <c r="J122" s="62" t="n">
        <v>259.4170532226562</v>
      </c>
    </row>
    <row r="123">
      <c r="I123" s="61" t="inlineStr">
        <is>
          <t>2026-03-10</t>
        </is>
      </c>
      <c r="J123" s="62" t="n">
        <v>260.3653564453125</v>
      </c>
    </row>
    <row r="124">
      <c r="I124" s="61" t="inlineStr">
        <is>
          <t>2026-03-11</t>
        </is>
      </c>
      <c r="J124" s="62" t="n">
        <v>260.3453979492188</v>
      </c>
    </row>
    <row r="125">
      <c r="I125" s="61" t="inlineStr">
        <is>
          <t>2026-03-12</t>
        </is>
      </c>
      <c r="J125" s="62" t="n">
        <v>255.3043975830078</v>
      </c>
    </row>
    <row r="126">
      <c r="I126" s="61" t="inlineStr">
        <is>
          <t>2026-03-13</t>
        </is>
      </c>
      <c r="J126" s="62" t="n">
        <v>249.6744384765625</v>
      </c>
    </row>
    <row r="127">
      <c r="I127" s="61" t="inlineStr">
        <is>
          <t>2026-03-16</t>
        </is>
      </c>
      <c r="J127" s="62" t="n">
        <v>252.3696441650391</v>
      </c>
    </row>
    <row r="128">
      <c r="I128" s="61" t="inlineStr">
        <is>
          <t>2026-03-17</t>
        </is>
      </c>
      <c r="J128" s="62" t="n">
        <v>253.7771148681641</v>
      </c>
    </row>
    <row r="129">
      <c r="I129" s="61" t="inlineStr">
        <is>
          <t>2026-03-18</t>
        </is>
      </c>
      <c r="J129" s="62" t="n">
        <v>249.4947662353516</v>
      </c>
    </row>
    <row r="130">
      <c r="I130" s="61" t="inlineStr">
        <is>
          <t>2026-03-19</t>
        </is>
      </c>
      <c r="J130" s="62" t="n">
        <v>248.5165252685547</v>
      </c>
    </row>
    <row r="131">
      <c r="I131" s="61" t="inlineStr">
        <is>
          <t>2026-03-20</t>
        </is>
      </c>
      <c r="J131" s="62" t="n">
        <v>247.5482330322266</v>
      </c>
    </row>
    <row r="132">
      <c r="I132" s="61" t="inlineStr">
        <is>
          <t>2026-03-23</t>
        </is>
      </c>
      <c r="J132" s="62" t="n">
        <v>251.0420074462891</v>
      </c>
    </row>
    <row r="133">
      <c r="I133" s="61" t="inlineStr">
        <is>
          <t>2026-03-24</t>
        </is>
      </c>
      <c r="J133" s="62" t="n">
        <v>251.1917266845703</v>
      </c>
    </row>
    <row r="134">
      <c r="I134" s="61" t="inlineStr">
        <is>
          <t>2026-03-25</t>
        </is>
      </c>
      <c r="J134" s="62" t="n">
        <v>252.1699829101562</v>
      </c>
    </row>
    <row r="135">
      <c r="I135" s="61" t="inlineStr">
        <is>
          <t>2026-03-26</t>
        </is>
      </c>
      <c r="J135" s="62" t="n">
        <v>252.4395141601562</v>
      </c>
    </row>
    <row r="136">
      <c r="I136" s="61" t="inlineStr">
        <is>
          <t>2026-03-27</t>
        </is>
      </c>
      <c r="J136" s="62" t="n">
        <v>248.3567962646484</v>
      </c>
    </row>
    <row r="137">
      <c r="I137" s="61" t="inlineStr">
        <is>
          <t>2026-03-30</t>
        </is>
      </c>
      <c r="J137" s="62" t="n">
        <v>246.1906585693359</v>
      </c>
    </row>
    <row r="138">
      <c r="I138" s="61" t="inlineStr">
        <is>
          <t>2026-03-31</t>
        </is>
      </c>
      <c r="J138" s="62" t="n">
        <v>253.3379058837891</v>
      </c>
    </row>
    <row r="139">
      <c r="I139" s="61" t="inlineStr">
        <is>
          <t>2026-04-01</t>
        </is>
      </c>
      <c r="J139" s="62" t="n">
        <v>255.1746368408203</v>
      </c>
    </row>
    <row r="140">
      <c r="I140" s="61" t="inlineStr">
        <is>
          <t>2026-04-02</t>
        </is>
      </c>
      <c r="J140" s="62" t="n">
        <v>255.464111328125</v>
      </c>
    </row>
    <row r="141">
      <c r="I141" s="61" t="inlineStr">
        <is>
          <t>2026-04-06</t>
        </is>
      </c>
      <c r="J141" s="62" t="n">
        <v>258.3988647460938</v>
      </c>
    </row>
    <row r="142">
      <c r="I142" s="61" t="inlineStr">
        <is>
          <t>2026-04-07</t>
        </is>
      </c>
      <c r="J142" s="62" t="n">
        <v>253.0484161376953</v>
      </c>
    </row>
    <row r="143">
      <c r="I143" s="61" t="inlineStr">
        <is>
          <t>2026-04-08</t>
        </is>
      </c>
      <c r="J143" s="62" t="n">
        <v>258.4388122558594</v>
      </c>
    </row>
    <row r="144">
      <c r="I144" s="61" t="inlineStr">
        <is>
          <t>2026-04-09</t>
        </is>
      </c>
      <c r="J144" s="62" t="n">
        <v>260.0259704589844</v>
      </c>
    </row>
    <row r="145">
      <c r="I145" s="61" t="inlineStr">
        <is>
          <t>2026-04-10</t>
        </is>
      </c>
      <c r="J145" s="62" t="n">
        <v>260.0159912109375</v>
      </c>
    </row>
    <row r="146">
      <c r="I146" s="61" t="inlineStr">
        <is>
          <t>2026-04-13</t>
        </is>
      </c>
      <c r="J146" s="62" t="n">
        <v>258.73828125</v>
      </c>
    </row>
    <row r="147">
      <c r="I147" s="61" t="inlineStr">
        <is>
          <t>2026-04-14</t>
        </is>
      </c>
      <c r="J147" s="62" t="n">
        <v>258.3689270019531</v>
      </c>
    </row>
    <row r="148">
      <c r="I148" s="61" t="inlineStr">
        <is>
          <t>2026-04-15</t>
        </is>
      </c>
      <c r="J148" s="62" t="n">
        <v>265.9553833007812</v>
      </c>
    </row>
    <row r="149">
      <c r="I149" s="61" t="inlineStr">
        <is>
          <t>2026-04-16</t>
        </is>
      </c>
      <c r="J149" s="62" t="n">
        <v>262.9307861328125</v>
      </c>
    </row>
    <row r="150">
      <c r="I150" s="61" t="inlineStr">
        <is>
          <t>2026-04-17</t>
        </is>
      </c>
      <c r="J150" s="62" t="n">
        <v>269.7486267089844</v>
      </c>
    </row>
    <row r="151">
      <c r="I151" s="61" t="inlineStr">
        <is>
          <t>2026-04-20</t>
        </is>
      </c>
      <c r="J151" s="62" t="n">
        <v>272.5635681152344</v>
      </c>
    </row>
    <row r="152">
      <c r="I152" s="61" t="inlineStr">
        <is>
          <t>2026-04-21</t>
        </is>
      </c>
      <c r="J152" s="62" t="n">
        <v>265.6958618164062</v>
      </c>
    </row>
    <row r="153">
      <c r="I153" s="61" t="inlineStr">
        <is>
          <t>2026-04-22</t>
        </is>
      </c>
      <c r="J153" s="62" t="n">
        <v>272.6834106445312</v>
      </c>
    </row>
    <row r="154">
      <c r="I154" s="61" t="inlineStr">
        <is>
          <t>2026-04-23</t>
        </is>
      </c>
      <c r="J154" s="62" t="n">
        <v>272.9429016113281</v>
      </c>
    </row>
    <row r="155">
      <c r="I155" s="61" t="inlineStr">
        <is>
          <t>2026-04-24</t>
        </is>
      </c>
      <c r="J155" s="62" t="n">
        <v>270.5771179199219</v>
      </c>
    </row>
    <row r="156">
      <c r="I156" s="61" t="inlineStr">
        <is>
          <t>2026-04-27</t>
        </is>
      </c>
      <c r="J156" s="62" t="n">
        <v>267.1332702636719</v>
      </c>
    </row>
    <row r="157">
      <c r="I157" s="61" t="inlineStr">
        <is>
          <t>2026-04-28</t>
        </is>
      </c>
      <c r="J157" s="62" t="n">
        <v>270.2277526855469</v>
      </c>
    </row>
    <row r="158">
      <c r="I158" s="61" t="inlineStr">
        <is>
          <t>2026-04-29</t>
        </is>
      </c>
      <c r="J158" s="62" t="n">
        <v>269.688720703125</v>
      </c>
    </row>
    <row r="159">
      <c r="I159" s="61" t="inlineStr">
        <is>
          <t>2026-04-30</t>
        </is>
      </c>
      <c r="J159" s="62" t="n">
        <v>270.8666381835938</v>
      </c>
    </row>
    <row r="160">
      <c r="I160" s="61" t="inlineStr">
        <is>
          <t>2026-05-01</t>
        </is>
      </c>
      <c r="J160" s="62" t="n">
        <v>279.6409912109375</v>
      </c>
    </row>
    <row r="161">
      <c r="I161" s="61" t="inlineStr">
        <is>
          <t>2026-05-04</t>
        </is>
      </c>
      <c r="J161" s="62" t="n">
        <v>276.3368225097656</v>
      </c>
    </row>
    <row r="162">
      <c r="I162" s="61" t="inlineStr">
        <is>
          <t>2026-05-05</t>
        </is>
      </c>
      <c r="J162" s="62" t="n">
        <v>283.6737670898438</v>
      </c>
    </row>
    <row r="163">
      <c r="I163" s="61" t="inlineStr">
        <is>
          <t>2026-05-06</t>
        </is>
      </c>
      <c r="J163" s="62" t="n">
        <v>286.9978637695312</v>
      </c>
    </row>
    <row r="164">
      <c r="I164" s="61" t="inlineStr">
        <is>
          <t>2026-05-07</t>
        </is>
      </c>
      <c r="J164" s="62" t="n">
        <v>286.927978515625</v>
      </c>
    </row>
    <row r="165">
      <c r="I165" s="61" t="inlineStr">
        <is>
          <t>2026-05-08</t>
        </is>
      </c>
      <c r="J165" s="62" t="n">
        <v>292.7974853515625</v>
      </c>
    </row>
    <row r="166">
      <c r="I166" s="61" t="inlineStr">
        <is>
          <t>2026-05-11</t>
        </is>
      </c>
      <c r="J166" s="62" t="n">
        <v>292.4277954101562</v>
      </c>
    </row>
    <row r="167">
      <c r="I167" s="61" t="inlineStr">
        <is>
          <t>2026-05-12</t>
        </is>
      </c>
      <c r="J167" s="62" t="n">
        <v>294.5459594726562</v>
      </c>
    </row>
    <row r="168">
      <c r="I168" s="61" t="inlineStr">
        <is>
          <t>2026-05-13</t>
        </is>
      </c>
      <c r="J168" s="62" t="n">
        <v>298.6124572753906</v>
      </c>
    </row>
    <row r="169">
      <c r="I169" s="61" t="inlineStr">
        <is>
          <t>2026-05-14</t>
        </is>
      </c>
      <c r="J169" s="62" t="n">
        <v>297.9530334472656</v>
      </c>
    </row>
    <row r="170">
      <c r="I170" s="61" t="inlineStr">
        <is>
          <t>2026-05-15</t>
        </is>
      </c>
      <c r="J170" s="62" t="n">
        <v>299.9713134765625</v>
      </c>
    </row>
    <row r="171">
      <c r="I171" s="61" t="inlineStr">
        <is>
          <t>2026-05-18</t>
        </is>
      </c>
      <c r="J171" s="62" t="n">
        <v>297.5833435058594</v>
      </c>
    </row>
    <row r="172">
      <c r="I172" s="61" t="inlineStr">
        <is>
          <t>2026-05-19</t>
        </is>
      </c>
      <c r="J172" s="62" t="n">
        <v>298.7123718261719</v>
      </c>
    </row>
    <row r="173">
      <c r="I173" s="61" t="inlineStr">
        <is>
          <t>2026-05-20</t>
        </is>
      </c>
      <c r="J173" s="62" t="n">
        <v>301.9895629882812</v>
      </c>
    </row>
    <row r="174">
      <c r="I174" s="61" t="inlineStr">
        <is>
          <t>2026-05-21</t>
        </is>
      </c>
      <c r="J174" s="62" t="n">
        <v>304.7271728515625</v>
      </c>
    </row>
    <row r="175">
      <c r="I175" s="61" t="inlineStr">
        <is>
          <t>2026-05-22</t>
        </is>
      </c>
      <c r="J175" s="62" t="n">
        <v>308.5538940429688</v>
      </c>
    </row>
    <row r="176">
      <c r="I176" s="61" t="inlineStr">
        <is>
          <t>2026-05-26</t>
        </is>
      </c>
      <c r="J176" s="62" t="n">
        <v>308.0643005371094</v>
      </c>
    </row>
    <row r="177">
      <c r="I177" s="61" t="inlineStr">
        <is>
          <t>2026-05-27</t>
        </is>
      </c>
      <c r="J177" s="62" t="n">
        <v>310.5821533203125</v>
      </c>
    </row>
    <row r="178">
      <c r="I178" s="61" t="inlineStr">
        <is>
          <t>2026-05-28</t>
        </is>
      </c>
      <c r="J178" s="62" t="n">
        <v>312.24072265625</v>
      </c>
    </row>
    <row r="179">
      <c r="I179" s="61" t="inlineStr">
        <is>
          <t>2026-05-29</t>
        </is>
      </c>
      <c r="J179" s="62" t="n">
        <v>311.7911071777344</v>
      </c>
    </row>
    <row r="180">
      <c r="I180" s="61" t="inlineStr">
        <is>
          <t>2026-06-01</t>
        </is>
      </c>
      <c r="J180" s="62" t="n">
        <v>306.0460510253906</v>
      </c>
    </row>
    <row r="181">
      <c r="I181" s="61" t="inlineStr">
        <is>
          <t>2026-06-02</t>
        </is>
      </c>
      <c r="J181" s="62" t="n">
        <v>314.9284057617188</v>
      </c>
    </row>
    <row r="182">
      <c r="I182" s="61" t="inlineStr">
        <is>
          <t>2026-06-03</t>
        </is>
      </c>
      <c r="J182" s="62" t="n">
        <v>309.9926452636719</v>
      </c>
    </row>
    <row r="183">
      <c r="I183" s="61" t="inlineStr">
        <is>
          <t>2026-06-04</t>
        </is>
      </c>
      <c r="J183" s="62" t="n">
        <v>310.9618225097656</v>
      </c>
    </row>
    <row r="184">
      <c r="I184" s="61" t="inlineStr">
        <is>
          <t>2026-06-05</t>
        </is>
      </c>
      <c r="J184" s="62" t="n">
        <v>307.0751647949219</v>
      </c>
    </row>
    <row r="185">
      <c r="I185" s="61" t="inlineStr">
        <is>
          <t>2026-06-08</t>
        </is>
      </c>
      <c r="J185" s="62" t="n">
        <v>301.2801818847656</v>
      </c>
    </row>
    <row r="186">
      <c r="I186" s="61" t="inlineStr">
        <is>
          <t>2026-06-09</t>
        </is>
      </c>
      <c r="J186" s="62" t="n">
        <v>290.2996215820312</v>
      </c>
    </row>
    <row r="187">
      <c r="I187" s="61" t="inlineStr">
        <is>
          <t>2026-06-10</t>
        </is>
      </c>
      <c r="J187" s="62" t="n">
        <v>291.3287353515625</v>
      </c>
    </row>
    <row r="188">
      <c r="I188" s="61" t="inlineStr">
        <is>
          <t>2026-06-11</t>
        </is>
      </c>
      <c r="J188" s="62" t="n">
        <v>295.375244140625</v>
      </c>
    </row>
    <row r="189">
      <c r="I189" s="61" t="inlineStr">
        <is>
          <t>2026-06-12</t>
        </is>
      </c>
      <c r="J189" s="62" t="n">
        <v>290.879150390625</v>
      </c>
    </row>
    <row r="190">
      <c r="I190" s="61" t="inlineStr">
        <is>
          <t>2026-06-15</t>
        </is>
      </c>
      <c r="J190" s="62" t="n">
        <v>296.1645812988281</v>
      </c>
    </row>
    <row r="191">
      <c r="I191" s="61" t="inlineStr">
        <is>
          <t>2026-06-16</t>
        </is>
      </c>
      <c r="J191" s="62" t="n">
        <v>298.9821472167969</v>
      </c>
    </row>
    <row r="192">
      <c r="I192" s="61" t="inlineStr">
        <is>
          <t>2026-06-17</t>
        </is>
      </c>
      <c r="J192" s="62" t="n">
        <v>295.6949768066406</v>
      </c>
    </row>
    <row r="193">
      <c r="I193" s="61" t="inlineStr">
        <is>
          <t>2026-06-18</t>
        </is>
      </c>
      <c r="J193" s="62" t="n">
        <v>297.7532043457031</v>
      </c>
    </row>
    <row r="194">
      <c r="I194" s="61" t="inlineStr">
        <is>
          <t>2026-06-22</t>
        </is>
      </c>
      <c r="J194" s="62" t="n">
        <v>296.7540893554688</v>
      </c>
    </row>
    <row r="195">
      <c r="I195" s="61" t="inlineStr">
        <is>
          <t>2026-06-23</t>
        </is>
      </c>
      <c r="J195" s="62" t="n">
        <v>294.04638671875</v>
      </c>
    </row>
    <row r="196">
      <c r="I196" s="61" t="inlineStr">
        <is>
          <t>2026-06-24</t>
        </is>
      </c>
      <c r="J196" s="62" t="n">
        <v>292.8274230957031</v>
      </c>
    </row>
    <row r="197">
      <c r="I197" s="61" t="inlineStr">
        <is>
          <t>2026-06-25</t>
        </is>
      </c>
      <c r="J197" s="62" t="n">
        <v>274.9129028320312</v>
      </c>
    </row>
    <row r="198">
      <c r="I198" s="61" t="inlineStr">
        <is>
          <t>2026-06-26</t>
        </is>
      </c>
      <c r="J198" s="62" t="n">
        <v>283.5354614257812</v>
      </c>
    </row>
    <row r="199">
      <c r="I199" s="61" t="inlineStr">
        <is>
          <t>2026-06-29</t>
        </is>
      </c>
      <c r="J199" s="62" t="n">
        <v>281.4972229003906</v>
      </c>
    </row>
    <row r="200">
      <c r="I200" s="61" t="inlineStr">
        <is>
          <t>2026-06-30</t>
        </is>
      </c>
      <c r="J200" s="62" t="n">
        <v>289.1106567382812</v>
      </c>
    </row>
    <row r="201">
      <c r="I201" s="61" t="inlineStr">
        <is>
          <t>2026-07-01</t>
        </is>
      </c>
      <c r="J201" s="62" t="n">
        <v>294.1263427734375</v>
      </c>
    </row>
    <row r="202">
      <c r="I202" s="61" t="inlineStr">
        <is>
          <t>2026-07-02</t>
        </is>
      </c>
      <c r="J202" s="62" t="n">
        <v>308.3640441894531</v>
      </c>
    </row>
    <row r="203">
      <c r="I203" s="61" t="inlineStr">
        <is>
          <t>2026-07-06</t>
        </is>
      </c>
      <c r="J203" s="62" t="n">
        <v>312.3905944824219</v>
      </c>
    </row>
    <row r="204">
      <c r="I204" s="61" t="inlineStr">
        <is>
          <t>2026-07-07</t>
        </is>
      </c>
      <c r="J204" s="62" t="n">
        <v>310.3923034667969</v>
      </c>
    </row>
    <row r="205">
      <c r="I205" s="61" t="inlineStr">
        <is>
          <t>2026-07-08</t>
        </is>
      </c>
      <c r="J205" s="62" t="n">
        <v>313.1199645996094</v>
      </c>
    </row>
    <row r="206">
      <c r="I206" s="61" t="inlineStr">
        <is>
          <t>2026-07-09</t>
        </is>
      </c>
      <c r="J206" s="62" t="n">
        <v>315.947509765625</v>
      </c>
    </row>
    <row r="207">
      <c r="I207" s="61" t="inlineStr">
        <is>
          <t>2026-07-10</t>
        </is>
      </c>
      <c r="J207" s="62" t="n">
        <v>315.0483093261719</v>
      </c>
    </row>
    <row r="208">
      <c r="I208" s="61" t="inlineStr">
        <is>
          <t>2026-07-13</t>
        </is>
      </c>
      <c r="J208" s="62" t="n">
        <v>317.0365600585938</v>
      </c>
    </row>
    <row r="209">
      <c r="I209" s="61" t="inlineStr">
        <is>
          <t>2026-07-14</t>
        </is>
      </c>
      <c r="J209" s="62" t="n">
        <v>314.5886840820312</v>
      </c>
    </row>
    <row r="210">
      <c r="I210" s="61" t="inlineStr">
        <is>
          <t>2026-07-15</t>
        </is>
      </c>
      <c r="J210" s="62" t="n">
        <v>327.2178039550781</v>
      </c>
    </row>
    <row r="211">
      <c r="I211" s="61" t="inlineStr">
        <is>
          <t>2026-07-16</t>
        </is>
      </c>
      <c r="J211" s="62" t="n">
        <v>332.9728393554688</v>
      </c>
    </row>
    <row r="212">
      <c r="I212" s="61" t="inlineStr">
        <is>
          <t>2026-07-17</t>
        </is>
      </c>
      <c r="J212" s="62" t="n">
        <v>333.452392578125</v>
      </c>
    </row>
    <row r="213">
      <c r="I213" s="61" t="inlineStr">
        <is>
          <t>2026-07-20</t>
        </is>
      </c>
      <c r="J213" s="62" t="n">
        <v>326.3085632324219</v>
      </c>
    </row>
    <row r="214">
      <c r="I214" s="61" t="inlineStr">
        <is>
          <t>2026-07-21</t>
        </is>
      </c>
      <c r="J214" s="62" t="n">
        <v>327.4575805664062</v>
      </c>
    </row>
    <row r="215">
      <c r="I215" s="61" t="inlineStr">
        <is>
          <t>2026-07-22</t>
        </is>
      </c>
      <c r="J215" s="62" t="n">
        <v>325.6091918945312</v>
      </c>
    </row>
    <row r="216">
      <c r="I216" s="61" t="inlineStr">
        <is>
          <t>2026-07-23</t>
        </is>
      </c>
      <c r="J216" s="62" t="n">
        <v>321.3828430175781</v>
      </c>
    </row>
    <row r="217">
      <c r="I217" s="61" t="inlineStr">
        <is>
          <t>2026-07-24</t>
        </is>
      </c>
      <c r="J217" s="62" t="n">
        <v>332.7330322265625</v>
      </c>
    </row>
    <row r="218">
      <c r="I218" s="61" t="inlineStr">
        <is>
          <t>2026-07-27</t>
        </is>
      </c>
      <c r="J218" s="62" t="n">
        <v>336.6196899414062</v>
      </c>
    </row>
    <row r="219">
      <c r="I219" s="61" t="inlineStr">
        <is>
          <t>2026-07-28</t>
        </is>
      </c>
      <c r="J219" s="62" t="n">
        <v>339.7869262695312</v>
      </c>
    </row>
    <row r="220">
      <c r="I220" s="61" t="inlineStr">
        <is>
          <t>2026-07-29</t>
        </is>
      </c>
      <c r="J220" s="62" t="n">
        <v>337.8985900878906</v>
      </c>
    </row>
    <row r="221">
      <c r="I221" s="61" t="inlineStr">
        <is>
          <t>2026-07-30</t>
        </is>
      </c>
      <c r="J221" s="62" t="n">
        <v>333.1426696777344</v>
      </c>
    </row>
    <row r="222">
      <c r="I222" s="61" t="inlineStr">
        <is>
          <t>2026-07-31</t>
        </is>
      </c>
      <c r="J222" s="62" t="n">
        <v>308.6438293457031</v>
      </c>
    </row>
    <row r="223">
      <c r="I223" s="61" t="inlineStr">
        <is>
          <t>2026-08-03</t>
        </is>
      </c>
      <c r="J223" s="62" t="n">
        <v>303.1585693359375</v>
      </c>
    </row>
    <row r="224">
      <c r="I224" s="61" t="inlineStr">
        <is>
          <t>2026-08-04</t>
        </is>
      </c>
      <c r="J224" s="62" t="n">
        <v>309.1134033203125</v>
      </c>
    </row>
    <row r="225">
      <c r="I225" s="61" t="inlineStr">
        <is>
          <t>2026-08-05</t>
        </is>
      </c>
      <c r="J225" s="62" t="n">
        <v>310.7320251464844</v>
      </c>
    </row>
    <row r="226">
      <c r="I226" s="61" t="inlineStr">
        <is>
          <t>2026-08-06</t>
        </is>
      </c>
      <c r="J226" s="62" t="n">
        <v>312.1408081054688</v>
      </c>
    </row>
    <row r="227">
      <c r="I227" s="61" t="inlineStr">
        <is>
          <t>2026-08-07</t>
        </is>
      </c>
      <c r="J227" s="62" t="n">
        <v>313.0599975585938</v>
      </c>
    </row>
    <row r="228">
      <c r="I228" s="61" t="inlineStr">
        <is>
          <t>2026-08-10</t>
        </is>
      </c>
      <c r="J228" s="62" t="n">
        <v>308.260009765625</v>
      </c>
    </row>
    <row r="229">
      <c r="I229" s="61" t="inlineStr">
        <is>
          <t>2026-08-11</t>
        </is>
      </c>
      <c r="J229" s="62" t="n">
        <v>304.9100036621094</v>
      </c>
    </row>
    <row r="230">
      <c r="I230" s="61" t="inlineStr">
        <is>
          <t>2026-08-12</t>
        </is>
      </c>
      <c r="J230" s="62" t="n">
        <v>302.25</v>
      </c>
    </row>
    <row r="231">
      <c r="I231" s="61" t="inlineStr">
        <is>
          <t>2026-08-13</t>
        </is>
      </c>
      <c r="J231" s="62" t="n">
        <v>305.260009765625</v>
      </c>
    </row>
    <row r="232">
      <c r="I232" s="61" t="inlineStr">
        <is>
          <t>2026-08-14</t>
        </is>
      </c>
      <c r="J232" s="62" t="n">
        <v>305.9299926757812</v>
      </c>
    </row>
    <row r="233">
      <c r="I233" s="61" t="inlineStr">
        <is>
          <t>2026-08-17</t>
        </is>
      </c>
      <c r="J233" s="62" t="n">
        <v>305.5899963378906</v>
      </c>
    </row>
    <row r="234">
      <c r="I234" s="61" t="inlineStr">
        <is>
          <t>2026-08-18</t>
        </is>
      </c>
      <c r="J234" s="62" t="n">
        <v>310.0299987792969</v>
      </c>
    </row>
    <row r="235">
      <c r="I235" s="61" t="inlineStr">
        <is>
          <t>2026-08-19</t>
        </is>
      </c>
      <c r="J235" s="62" t="n">
        <v>316.8299865722656</v>
      </c>
    </row>
    <row r="236">
      <c r="I236" s="61" t="inlineStr">
        <is>
          <t>2026-08-20</t>
        </is>
      </c>
      <c r="J236" s="62" t="n">
        <v>311.2999877929688</v>
      </c>
    </row>
    <row r="237">
      <c r="I237" s="61" t="inlineStr">
        <is>
          <t>2026-08-21</t>
        </is>
      </c>
      <c r="J237" s="62" t="n">
        <v>309.3500061035156</v>
      </c>
    </row>
    <row r="238">
      <c r="I238" s="61" t="inlineStr">
        <is>
          <t>2026-08-24</t>
        </is>
      </c>
      <c r="J238" s="62" t="n">
        <v>310.3399963378906</v>
      </c>
    </row>
    <row r="239">
      <c r="I239" s="61" t="inlineStr">
        <is>
          <t>2026-08-25</t>
        </is>
      </c>
      <c r="J239" s="62" t="n">
        <v>309.8999938964844</v>
      </c>
    </row>
    <row r="240">
      <c r="I240" s="61" t="inlineStr">
        <is>
          <t>2026-08-26</t>
        </is>
      </c>
      <c r="J240" s="62" t="n">
        <v>313.4500122070312</v>
      </c>
    </row>
    <row r="241">
      <c r="I241" s="61" t="inlineStr">
        <is>
          <t>2026-08-27</t>
        </is>
      </c>
      <c r="J241" s="62" t="n">
        <v>314.5799865722656</v>
      </c>
    </row>
    <row r="242">
      <c r="I242" s="61" t="inlineStr">
        <is>
          <t>2026-08-28</t>
        </is>
      </c>
      <c r="J242" s="62" t="n">
        <v>319.7000122070312</v>
      </c>
    </row>
    <row r="243">
      <c r="I243" s="61" t="inlineStr">
        <is>
          <t>2026-08-31</t>
        </is>
      </c>
      <c r="J243" s="62" t="n">
        <v>316.8500061035156</v>
      </c>
    </row>
    <row r="244">
      <c r="I244" s="61" t="inlineStr">
        <is>
          <t>2026-09-01</t>
        </is>
      </c>
      <c r="J244" s="62" t="n">
        <v>325.1300048828125</v>
      </c>
    </row>
    <row r="245">
      <c r="I245" s="61" t="inlineStr">
        <is>
          <t>2026-09-02</t>
        </is>
      </c>
      <c r="J245" s="62" t="n">
        <v>324.9599914550781</v>
      </c>
    </row>
    <row r="246">
      <c r="I246" s="61" t="inlineStr">
        <is>
          <t>2026-09-03</t>
        </is>
      </c>
      <c r="J246" s="62" t="n">
        <v>328.2099914550781</v>
      </c>
    </row>
    <row r="247">
      <c r="I247" s="61" t="inlineStr">
        <is>
          <t>2026-09-04</t>
        </is>
      </c>
      <c r="J247" s="62" t="n">
        <v>319.9700012207031</v>
      </c>
    </row>
    <row r="248">
      <c r="I248" s="61" t="inlineStr">
        <is>
          <t>2026-09-08</t>
        </is>
      </c>
      <c r="J248" s="62" t="n">
        <v>316.2200012207031</v>
      </c>
    </row>
    <row r="249">
      <c r="I249" s="61" t="inlineStr">
        <is>
          <t>2026-09-09</t>
        </is>
      </c>
      <c r="J249" s="62" t="n">
        <v>315.3399963378906</v>
      </c>
    </row>
    <row r="250">
      <c r="I250" s="61" t="inlineStr">
        <is>
          <t>2026-09-10</t>
        </is>
      </c>
      <c r="J250" s="62" t="n">
        <v>326.5700073242188</v>
      </c>
    </row>
    <row r="251">
      <c r="I251" s="61" t="inlineStr">
        <is>
          <t>2026-09-11</t>
        </is>
      </c>
      <c r="J251" s="62" t="n">
        <v>332.2699890136719</v>
      </c>
    </row>
    <row r="252">
      <c r="I252" s="61" t="inlineStr">
        <is>
          <t>2026-09-14</t>
        </is>
      </c>
      <c r="J252" s="62" t="n">
        <v>333.0799865722656</v>
      </c>
    </row>
    <row r="253">
      <c r="I253" s="61" t="inlineStr">
        <is>
          <t>2026-09-15</t>
        </is>
      </c>
      <c r="J253" s="62" t="n">
        <v>331.3399963378906</v>
      </c>
    </row>
    <row r="254">
      <c r="I254" s="61" t="inlineStr">
        <is>
          <t>2026-09-16</t>
        </is>
      </c>
      <c r="J254" s="62" t="n">
        <v>332.4100036621094</v>
      </c>
    </row>
    <row r="255">
      <c r="I255" s="61" t="inlineStr">
        <is>
          <t>2026-09-17</t>
        </is>
      </c>
      <c r="J255" s="62" t="n">
        <v>337</v>
      </c>
    </row>
    <row r="256">
      <c r="I256" s="61" t="inlineStr">
        <is>
          <t>2026-09-18</t>
        </is>
      </c>
      <c r="J256" s="62" t="n">
        <v>336.1300048828125</v>
      </c>
    </row>
  </sheetData>
  <mergeCells count="3">
    <mergeCell ref="B2:F2"/>
    <mergeCell ref="B1:F1"/>
    <mergeCell ref="B3:F3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B1:G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B1" s="36" t="inlineStr">
        <is>
          <t>DCF SENSITIVITY ANALYSIS</t>
        </is>
      </c>
    </row>
    <row r="2">
      <c r="B2" s="37" t="inlineStr">
        <is>
          <t>Apple Inc. (AAPL)  |  Analysis date 21 Sep 2026</t>
        </is>
      </c>
    </row>
    <row r="3" ht="26" customHeight="1">
      <c r="B3" s="54" t="inlineStr">
        <is>
          <t>Implied share price for each WACC / terminal growth pair. Revenue growth follows the terminal growth rate, exactly as in the main model. Green = higher value, red = lower.</t>
        </is>
      </c>
    </row>
    <row r="5" ht="20" customHeight="1">
      <c r="B5" s="24" t="inlineStr">
        <is>
          <t>1. Perpetual Growth DCF - Implied Share Price</t>
        </is>
      </c>
      <c r="C5" s="24" t="n"/>
      <c r="D5" s="24" t="n"/>
      <c r="E5" s="24" t="n"/>
      <c r="F5" s="24" t="n"/>
      <c r="G5" s="24" t="n"/>
    </row>
    <row r="6">
      <c r="B6" s="26" t="inlineStr">
        <is>
          <t>WACC \ Growth</t>
        </is>
      </c>
      <c r="C6" s="64" t="n">
        <v>0.02</v>
      </c>
      <c r="D6" s="64" t="n">
        <v>0.025</v>
      </c>
      <c r="E6" s="64" t="n">
        <v>0.03</v>
      </c>
      <c r="F6" s="64" t="n">
        <v>0.035</v>
      </c>
      <c r="G6" s="64" t="n">
        <v>0.04</v>
      </c>
    </row>
    <row r="7">
      <c r="B7" s="64" t="n">
        <v>0.07000000000000001</v>
      </c>
      <c r="C7" s="65" t="n">
        <v>151.8917542749557</v>
      </c>
      <c r="D7" s="65" t="n">
        <v>170.3354503458436</v>
      </c>
      <c r="E7" s="65" t="n">
        <v>193.3900704344539</v>
      </c>
      <c r="F7" s="65" t="n">
        <v>223.0317248340952</v>
      </c>
      <c r="G7" s="65" t="n">
        <v>262.5539307002841</v>
      </c>
    </row>
    <row r="8">
      <c r="B8" s="64" t="n">
        <v>0.08</v>
      </c>
      <c r="C8" s="65" t="n">
        <v>126.074435288843</v>
      </c>
      <c r="D8" s="65" t="n">
        <v>138.8177030753775</v>
      </c>
      <c r="E8" s="65" t="n">
        <v>154.109624419219</v>
      </c>
      <c r="F8" s="65" t="n">
        <v>172.7997505061362</v>
      </c>
      <c r="G8" s="65" t="n">
        <v>196.162408114783</v>
      </c>
    </row>
    <row r="9">
      <c r="B9" s="64" t="n">
        <v>0.09</v>
      </c>
      <c r="C9" s="65" t="n">
        <v>107.6334931559055</v>
      </c>
      <c r="D9" s="65" t="n">
        <v>116.997724195824</v>
      </c>
      <c r="E9" s="65" t="n">
        <v>127.9226604090625</v>
      </c>
      <c r="F9" s="65" t="n">
        <v>140.8339486610714</v>
      </c>
      <c r="G9" s="65" t="n">
        <v>156.3274945634824</v>
      </c>
    </row>
    <row r="10">
      <c r="B10" s="64" t="n">
        <v>0.1</v>
      </c>
      <c r="C10" s="65" t="n">
        <v>93.80278655620225</v>
      </c>
      <c r="D10" s="65" t="n">
        <v>100.9964063508181</v>
      </c>
      <c r="E10" s="65" t="n">
        <v>109.2176861160935</v>
      </c>
      <c r="F10" s="65" t="n">
        <v>118.7037781529496</v>
      </c>
      <c r="G10" s="65" t="n">
        <v>129.7708855292819</v>
      </c>
    </row>
    <row r="11">
      <c r="B11" s="64" t="n">
        <v>0.11</v>
      </c>
      <c r="C11" s="65" t="n">
        <v>83.04557031198864</v>
      </c>
      <c r="D11" s="65" t="n">
        <v>88.76010446934302</v>
      </c>
      <c r="E11" s="65" t="n">
        <v>95.18895539636681</v>
      </c>
      <c r="F11" s="65" t="n">
        <v>102.4749864469936</v>
      </c>
      <c r="G11" s="65" t="n">
        <v>110.8018790762816</v>
      </c>
    </row>
    <row r="12">
      <c r="B12" s="64" t="n">
        <v>0.12</v>
      </c>
      <c r="C12" s="65" t="n">
        <v>74.43979731661776</v>
      </c>
      <c r="D12" s="65" t="n">
        <v>79.09986614186268</v>
      </c>
      <c r="E12" s="65" t="n">
        <v>84.27772039213494</v>
      </c>
      <c r="F12" s="65" t="n">
        <v>90.06473396596849</v>
      </c>
      <c r="G12" s="65" t="n">
        <v>96.57512423653139</v>
      </c>
    </row>
    <row r="14" ht="20" customHeight="1">
      <c r="B14" s="24" t="inlineStr">
        <is>
          <t>2. Blended DCF (average of Perpetual Growth &amp; Exit Multiple) - Implied Share Price</t>
        </is>
      </c>
      <c r="C14" s="24" t="n"/>
      <c r="D14" s="24" t="n"/>
      <c r="E14" s="24" t="n"/>
      <c r="F14" s="24" t="n"/>
      <c r="G14" s="24" t="n"/>
    </row>
    <row r="15">
      <c r="B15" s="26" t="inlineStr">
        <is>
          <t>WACC \ Growth</t>
        </is>
      </c>
      <c r="C15" s="64" t="n">
        <v>0.02</v>
      </c>
      <c r="D15" s="64" t="n">
        <v>0.025</v>
      </c>
      <c r="E15" s="64" t="n">
        <v>0.03</v>
      </c>
      <c r="F15" s="64" t="n">
        <v>0.035</v>
      </c>
      <c r="G15" s="64" t="n">
        <v>0.04</v>
      </c>
    </row>
    <row r="16">
      <c r="B16" s="64" t="n">
        <v>0.07000000000000001</v>
      </c>
      <c r="C16" s="65" t="n">
        <v>132.9171627897753</v>
      </c>
      <c r="D16" s="65" t="n">
        <v>143.4521476977357</v>
      </c>
      <c r="E16" s="65" t="n">
        <v>156.3167926777494</v>
      </c>
      <c r="F16" s="65" t="n">
        <v>172.4994968539793</v>
      </c>
      <c r="G16" s="65" t="n">
        <v>193.6473660697689</v>
      </c>
    </row>
    <row r="17">
      <c r="B17" s="64" t="n">
        <v>0.08</v>
      </c>
      <c r="C17" s="65" t="n">
        <v>117.6619893683539</v>
      </c>
      <c r="D17" s="65" t="n">
        <v>125.2907692931594</v>
      </c>
      <c r="E17" s="65" t="n">
        <v>134.2170020731989</v>
      </c>
      <c r="F17" s="65" t="n">
        <v>144.865791814238</v>
      </c>
      <c r="G17" s="65" t="n">
        <v>157.8746335576951</v>
      </c>
    </row>
    <row r="18">
      <c r="B18" s="64" t="n">
        <v>0.09</v>
      </c>
      <c r="C18" s="65" t="n">
        <v>106.2163191429551</v>
      </c>
      <c r="D18" s="65" t="n">
        <v>112.102537220132</v>
      </c>
      <c r="E18" s="65" t="n">
        <v>118.7912191243733</v>
      </c>
      <c r="F18" s="65" t="n">
        <v>126.495502166906</v>
      </c>
      <c r="G18" s="65" t="n">
        <v>135.5136560304161</v>
      </c>
    </row>
    <row r="19">
      <c r="B19" s="64" t="n">
        <v>0.1</v>
      </c>
      <c r="C19" s="65" t="n">
        <v>97.18967079853837</v>
      </c>
      <c r="D19" s="65" t="n">
        <v>101.9403056553504</v>
      </c>
      <c r="E19" s="65" t="n">
        <v>107.2259205112589</v>
      </c>
      <c r="F19" s="65" t="n">
        <v>113.1653915394473</v>
      </c>
      <c r="G19" s="65" t="n">
        <v>119.9171231616372</v>
      </c>
    </row>
    <row r="20">
      <c r="B20" s="64" t="n">
        <v>0.11</v>
      </c>
      <c r="C20" s="65" t="n">
        <v>89.80677845320105</v>
      </c>
      <c r="D20" s="65" t="n">
        <v>93.77019000582489</v>
      </c>
      <c r="E20" s="65" t="n">
        <v>98.1109990482212</v>
      </c>
      <c r="F20" s="65" t="n">
        <v>102.9009241548976</v>
      </c>
      <c r="G20" s="65" t="n">
        <v>108.2320956897166</v>
      </c>
    </row>
    <row r="21">
      <c r="B21" s="64" t="n">
        <v>0.12</v>
      </c>
      <c r="C21" s="65" t="n">
        <v>83.6002021637687</v>
      </c>
      <c r="D21" s="65" t="n">
        <v>86.99114064025693</v>
      </c>
      <c r="E21" s="65" t="n">
        <v>90.66034728103162</v>
      </c>
      <c r="F21" s="65" t="n">
        <v>94.65378349366851</v>
      </c>
      <c r="G21" s="65" t="n">
        <v>99.02883504222146</v>
      </c>
    </row>
    <row r="23">
      <c r="B23" s="60" t="inlineStr">
        <is>
          <t>Current share price: $336.13   |   Base case used in model: WACC 9.0%, growth 3.0%</t>
        </is>
      </c>
    </row>
  </sheetData>
  <mergeCells count="3">
    <mergeCell ref="B3:G3"/>
    <mergeCell ref="B2:G2"/>
    <mergeCell ref="B1:G1"/>
  </mergeCells>
  <conditionalFormatting sqref="C7:G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6:G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2026-09-21T05:16:30Z</dcterms:created>
  <dcterms:modified xmlns:dcterms="http://purl.org/dc/terms/" xmlns:xsi="http://www.w3.org/2001/XMLSchema-instance" xsi:type="dcterms:W3CDTF">2026-09-21T05:16:30Z</dcterms:modified>
</cp:coreProperties>
</file>